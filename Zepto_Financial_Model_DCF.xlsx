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DCF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FY23A-FY26A: Actual restated revenue from operations, per Zepto/Kiranakart Technologies updated DRHP filed with SEBI, June 2026 (as reported in press coverage of the filing). FY27E onward: projected off the growth-rate assumption below.</t>
        </r>
      </text>
    </comment>
    <comment ref="A8" authorId="0">
      <text>
        <r>
          <rPr>
            <sz val="10"/>
            <rFont val="Arial"/>
            <family val="2"/>
          </rPr>
          <t xml:space="preserve">Modeled assumption: growth decelerates from ~55% (FY27E) to ~12% (FY33E) as the Indian quick-commerce category matures and Zepto's base scales. Analyst estimate — flex this row to stress-test the model.</t>
        </r>
      </text>
    </comment>
    <comment ref="A11" authorId="0">
      <text>
        <r>
          <rPr>
            <sz val="10"/>
            <rFont val="Arial"/>
            <family val="2"/>
          </rPr>
          <t xml:space="preserve">Modeled estimate. Grocery/quick-commerce procurement cost typically 74-82% of revenue; DRHP discloses 'procurement of traded goods' as the largest single expense line but not as a clean %. Historicals back-solved to be consistent with disclosed FY25/FY26 total expenses; improvement over time reflects private-label mix and category expansion (incl. advertising revenue).</t>
        </r>
      </text>
    </comment>
    <comment ref="A12" authorId="0">
      <text>
        <r>
          <rPr>
            <sz val="10"/>
            <rFont val="Arial"/>
            <family val="2"/>
          </rPr>
          <t xml:space="preserve">FY26A = 13.47% ties to disclosed delivery &amp; handling cost of ₹3,046.3 Cr on revenue of ₹22,623.6 Cr (DRHP). Earlier years estimated (higher, reflecting lower dark-store density). Projection declines further with network density/route optimization.</t>
        </r>
      </text>
    </comment>
    <comment ref="A13" authorId="0">
      <text>
        <r>
          <rPr>
            <sz val="10"/>
            <rFont val="Arial"/>
            <family val="2"/>
          </rPr>
          <t xml:space="preserve">FY26A = 7.89% ties to disclosed employee benefits expense of ₹1,784.7 Cr on revenue of ₹22,623.6 Cr (DRHP, +44% YoY as disclosed). Earlier years estimated. Projection assumes continued operating leverage on headcount.</t>
        </r>
      </text>
    </comment>
    <comment ref="A14" authorId="0">
      <text>
        <r>
          <rPr>
            <sz val="10"/>
            <rFont val="Arial"/>
            <family val="2"/>
          </rPr>
          <t xml:space="preserve">Not separately disclosed in press coverage of the DRHP; analyst estimate reflecting heavy customer-acquisition spend in early quick-commerce land-grab, tapering as the brand matures.</t>
        </r>
      </text>
    </comment>
    <comment ref="A15" authorId="0">
      <text>
        <r>
          <rPr>
            <sz val="10"/>
            <rFont val="Arial"/>
            <family val="2"/>
          </rPr>
          <t xml:space="preserve">Analyst estimate — app/cloud/tech spend, relatively stable as % of revenue given largely fixed tech-platform cost base.</t>
        </r>
      </text>
    </comment>
    <comment ref="A16" authorId="0">
      <text>
        <r>
          <rPr>
            <sz val="10"/>
            <rFont val="Arial"/>
            <family val="2"/>
          </rPr>
          <t xml:space="preserve">Historical years: not separately disclosed, so this line is solved as a balancing plug on the Income Statement so that modeled Net Income ties exactly to Zepto's actual reported net loss each year (FY23A-FY26A). Projected years: modeled directly as a declining % of revenue.</t>
        </r>
      </text>
    </comment>
    <comment ref="A19" authorId="0">
      <text>
        <r>
          <rPr>
            <sz val="10"/>
            <rFont val="Arial"/>
            <family val="2"/>
          </rPr>
          <t xml:space="preserve">Analyst estimate — depreciation of dark-store fit-outs/equipment and amortization of capitalized software, assumed broadly stable as % of revenue.</t>
        </r>
      </text>
    </comment>
    <comment ref="A20" authorId="0">
      <text>
        <r>
          <rPr>
            <sz val="10"/>
            <rFont val="Arial"/>
            <family val="2"/>
          </rPr>
          <t xml:space="preserve">Analyst estimate — dark-store buildout and equipment capex, quick-commerce is capex-intensive vs. e-commerce peers; moderates as network matures.</t>
        </r>
      </text>
    </comment>
    <comment ref="A21" authorId="0">
      <text>
        <r>
          <rPr>
            <sz val="10"/>
            <rFont val="Arial"/>
            <family val="2"/>
          </rPr>
          <t xml:space="preserve">Indian domestic corporate tax rate (base 25.17% incl. surcharge/cess for companies opting into concessional regime). Applied only to positive PBT — losses do not generate a cash tax benefit in this model (NOL carryforward utilization not modeled for simplicity).</t>
        </r>
      </text>
    </comment>
    <comment ref="A22" authorId="0">
      <text>
        <r>
          <rPr>
            <sz val="10"/>
            <rFont val="Arial"/>
            <family val="2"/>
          </rPr>
          <t xml:space="preserve">Analyst estimate — Zepto is a consumer app business (prepaid via app), so trade receivables are small and relate mainly to advertising/brand-partner receivables, not consumer credit.</t>
        </r>
      </text>
    </comment>
    <comment ref="A23" authorId="0">
      <text>
        <r>
          <rPr>
            <sz val="10"/>
            <rFont val="Arial"/>
            <family val="2"/>
          </rPr>
          <t xml:space="preserve">Analyst estimate — payment terms to FMCG/grocery suppliers, typically 30-45 days in Indian retail.</t>
        </r>
      </text>
    </comment>
    <comment ref="A24" authorId="0">
      <text>
        <r>
          <rPr>
            <sz val="10"/>
            <rFont val="Arial"/>
            <family val="2"/>
          </rPr>
          <t xml:space="preserve">Analyst estimate — quick-commerce dark stores hold lean, fast-turning inventory (perishables-heavy assortment) vs. traditional retail.</t>
        </r>
      </text>
    </comment>
    <comment ref="A25" authorId="0">
      <text>
        <r>
          <rPr>
            <sz val="10"/>
            <rFont val="Arial"/>
            <family val="2"/>
          </rPr>
          <t xml:space="preserve">Modeled floor: the business raises external equity funding (consistent with Zepto's actual multi-round private fundraising history) whenever projected cash would otherwise fall below this level. This is a modeling simplification standing in for continuous private/IPO capital raises.</t>
        </r>
      </text>
    </comment>
    <comment ref="A28" authorId="0">
      <text>
        <r>
          <rPr>
            <sz val="10"/>
            <rFont val="Arial"/>
            <family val="2"/>
          </rPr>
          <t xml:space="preserve">Approx. India 10-year government bond yield, mid-2026.</t>
        </r>
      </text>
    </comment>
    <comment ref="A29" authorId="0">
      <text>
        <r>
          <rPr>
            <sz val="10"/>
            <rFont val="Arial"/>
            <family val="2"/>
          </rPr>
          <t xml:space="preserve">Analyst estimate for an emerging-market equity risk premium.</t>
        </r>
      </text>
    </comment>
    <comment ref="A30" authorId="0">
      <text>
        <r>
          <rPr>
            <sz val="10"/>
            <rFont val="Arial"/>
            <family val="2"/>
          </rPr>
          <t xml:space="preserve">Analyst estimate reflecting high-growth, high-volatility quick-commerce risk profile vs. broad market.</t>
        </r>
      </text>
    </comment>
    <comment ref="A32" authorId="0">
      <text>
        <r>
          <rPr>
            <sz val="10"/>
            <rFont val="Arial"/>
            <family val="2"/>
          </rPr>
          <t xml:space="preserve">Analyst estimate of borrowing cost for a high-growth Indian corporate.</t>
        </r>
      </text>
    </comment>
    <comment ref="A34" authorId="0">
      <text>
        <r>
          <rPr>
            <sz val="10"/>
            <rFont val="Arial"/>
            <family val="2"/>
          </rPr>
          <t xml:space="preserve">Zepto has been almost entirely equity-funded historically; assumes a modest long-run debt component post-IPO.</t>
        </r>
      </text>
    </comment>
    <comment ref="A37" authorId="0">
      <text>
        <r>
          <rPr>
            <sz val="10"/>
            <rFont val="Arial"/>
            <family val="2"/>
          </rPr>
          <t xml:space="preserve">Long-run steady-state growth ~ India nominal GDP growth proxy.</t>
        </r>
      </text>
    </comment>
    <comment ref="A38" authorId="0">
      <text>
        <r>
          <rPr>
            <sz val="10"/>
            <rFont val="Arial"/>
            <family val="2"/>
          </rPr>
          <t xml:space="preserve">Approx. spot USD/INR, mid-2026, for converting the DCF output to USD for comparison against the last funding round and IPO price band.</t>
        </r>
      </text>
    </comment>
    <comment ref="A41" authorId="0">
      <text>
        <r>
          <rPr>
            <sz val="10"/>
            <rFont val="Arial"/>
            <family val="2"/>
          </rPr>
          <t xml:space="preserve">Zepto's last private funding round, ~$7bn valuation, October 2025 (reported).</t>
        </r>
      </text>
    </comment>
    <comment ref="A43" authorId="0">
      <text>
        <r>
          <rPr>
            <sz val="10"/>
            <rFont val="Arial"/>
            <family val="2"/>
          </rPr>
          <t xml:space="preserve">Reported IPO valuation range, reflecting a deliberate haircut to the last private round ahead of listing (~June 2026 filing).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8" authorId="0">
      <text>
        <r>
          <rPr>
            <sz val="10"/>
            <rFont val="Arial"/>
            <family val="2"/>
          </rPr>
          <t xml:space="preserve">FY23A-FY26A: solved as a balancing plug so modeled Net Income ties exactly to Zepto's actual reported net loss (see Assumptions tab note). FY27E+: modeled directly as % of revenue.</t>
        </r>
      </text>
    </comment>
    <comment ref="A24" authorId="0">
      <text>
        <r>
          <rPr>
            <sz val="10"/>
            <rFont val="Arial"/>
            <family val="2"/>
          </rPr>
          <t xml:space="preserve">Historical: netted to zero for modeling simplicity (actual net loss captured via the G&amp;A plug instead). Projected: modeled as ~0.5% interest income on the prior-year closing cash balance.</t>
        </r>
      </text>
    </comment>
    <comment ref="A26" authorId="0">
      <text>
        <r>
          <rPr>
            <sz val="10"/>
            <rFont val="Arial"/>
            <family val="2"/>
          </rPr>
          <t xml:space="preserve">Tax only applied when PBT is positive; loss years generate no cash tax benefit in this model (NOL carryforwards not separately tracked).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Modeled as ~3% of revenue (prepaid expenses, GST input credits, other receivables) — not separately broken out in available disclosures. Applied consistently across historical and projected years for balance-sheet consistency.</t>
        </r>
      </text>
    </comment>
    <comment ref="A13" authorId="0">
      <text>
        <r>
          <rPr>
            <sz val="10"/>
            <rFont val="Arial"/>
            <family val="2"/>
          </rPr>
          <t xml:space="preserve">Rolls forward from an assumed zero pre-FY23A base (full opening PP&amp;E not separately disclosed): each year = prior year PP&amp;E + capex - D&amp;A (D&amp;A already stored as a negative value on the Income Statement). Applied consistently across historical and projected years for balance-sheet consistency.</t>
        </r>
      </text>
    </comment>
    <comment ref="A14" authorId="0">
      <text>
        <r>
          <rPr>
            <sz val="10"/>
            <rFont val="Arial"/>
            <family val="2"/>
          </rPr>
          <t xml:space="preserve">Modeled — capitalized software, security deposits (dark-store leases), goodwill from small tuck-in acquisitions. Applied consistently across historical and projected years for balance-sheet consistency.</t>
        </r>
      </text>
    </comment>
    <comment ref="A20" authorId="0">
      <text>
        <r>
          <rPr>
            <sz val="10"/>
            <rFont val="Arial"/>
            <family val="2"/>
          </rPr>
          <t xml:space="preserve">Modeled as ~7% of revenue (accrued expenses, employee-related payables, statutory dues) — not separately disclosed at this granularity. Applied consistently across historical and projected years for balance-sheet consistency.</t>
        </r>
      </text>
    </comment>
    <comment ref="A22" authorId="0">
      <text>
        <r>
          <rPr>
            <sz val="10"/>
            <rFont val="Arial"/>
            <family val="2"/>
          </rPr>
          <t xml:space="preserve">Zepto has historically been funded almost entirely by private equity/venture capital rather than debt; modeled as zero throughout (consistent with the 90%/10% equity/debt WACC weighting being a post-IPO target capital structure, not existing on-balance-sheet debt).</t>
        </r>
      </text>
    </comment>
    <comment ref="A26" authorId="0">
      <text>
        <r>
          <rPr>
            <sz val="10"/>
            <rFont val="Arial"/>
            <family val="2"/>
          </rPr>
          <t xml:space="preserve">Rolls forward from opening paid-in capital = modeled opening cash balance (FY22 closing cash of ₹350 Cr, per the Cash Flow statement) — a simplifying convention that treats all non-cash balance-sheet accounts as zero immediately pre-FY23A, since full historical cap-table and opening-balance detail is not in the disclosures available here — plus each period's external equity funding raised (from the Cash Flow statement's funding plug, which mirrors Zepto's actual repeated private fundraising rounds).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2" authorId="0">
      <text>
        <r>
          <rPr>
            <sz val="10"/>
            <rFont val="Arial"/>
            <family val="2"/>
          </rPr>
          <t xml:space="preserve">FY23A opening cash: modeled estimate reflecting cash on hand from Zepto's early (2021-2022) seed and Series funding rounds, prior to the FY23A-FY26A window covered by this model.</t>
        </r>
      </text>
    </comment>
    <comment ref="A23" authorId="0">
      <text>
        <r>
          <rPr>
            <sz val="10"/>
            <rFont val="Arial"/>
            <family val="2"/>
          </rPr>
          <t xml:space="preserve">Models Zepto's actual behavior of raising successive private funding rounds (and ultimately the IPO) to fund cash burn: whenever projected cash would otherwise dip below the minimum operating cash balance (Assumptions tab), external equity is raised to top it back up to that floor.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2" authorId="0">
      <text>
        <r>
          <rPr>
            <sz val="10"/>
            <rFont val="Arial"/>
            <family val="2"/>
          </rPr>
          <t xml:space="preserve">Sum of the working-capital movement lines from the Cash Flow statement (receivables, inventory, other current assets, payables, other current liabilities) — already signed so that a cash outflow (NWC build) shows negative here.</t>
        </r>
      </text>
    </comment>
  </commentList>
</comments>
</file>

<file path=xl/sharedStrings.xml><?xml version="1.0" encoding="utf-8"?>
<sst xmlns="http://schemas.openxmlformats.org/spreadsheetml/2006/main" count="232" uniqueCount="169">
  <si>
    <t xml:space="preserve">ZEPTO (KIRANAKART TECHNOLOGIES LTD)</t>
  </si>
  <si>
    <t xml:space="preserve">3-Statement Financial Model &amp; DCF Valuation — Portfolio / Interview Project</t>
  </si>
  <si>
    <t xml:space="preserve">Company snapshot</t>
  </si>
  <si>
    <t xml:space="preserve">Sector</t>
  </si>
  <si>
    <t xml:space="preserve">Quick-commerce (10-minute grocery delivery), India</t>
  </si>
  <si>
    <t xml:space="preserve">Founded</t>
  </si>
  <si>
    <t xml:space="preserve">2021 (as Kiranakart Technologies Pvt Ltd; rebranded Zepto, April 2025)</t>
  </si>
  <si>
    <t xml:space="preserve">Status modeled</t>
  </si>
  <si>
    <t xml:space="preserve">IPO-bound — updated DRHP filed with SEBI, June 2026 (₹8,010 Cr fresh issue + OFS)</t>
  </si>
  <si>
    <t xml:space="preserve">Last private round</t>
  </si>
  <si>
    <t xml:space="preserve">~$7.0bn valuation, October 2025</t>
  </si>
  <si>
    <t xml:space="preserve">IPO price band (reported)</t>
  </si>
  <si>
    <t xml:space="preserve">~$5.6bn - $5.95bn implied valuation</t>
  </si>
  <si>
    <t xml:space="preserve">Historical financials (₹ Crore, actual per DRHP)</t>
  </si>
  <si>
    <t xml:space="preserve">FY25A</t>
  </si>
  <si>
    <t xml:space="preserve">FY26A</t>
  </si>
  <si>
    <t xml:space="preserve">CAGR (FY23-26)</t>
  </si>
  <si>
    <t xml:space="preserve">Revenue</t>
  </si>
  <si>
    <t xml:space="preserve">Net income / (loss)</t>
  </si>
  <si>
    <t xml:space="preserve">DCF valuation output (base case)</t>
  </si>
  <si>
    <t xml:space="preserve">WACC</t>
  </si>
  <si>
    <t xml:space="preserve">Terminal growth rate</t>
  </si>
  <si>
    <t xml:space="preserve">Enterprise Value (₹ Cr)</t>
  </si>
  <si>
    <t xml:space="preserve">Equity Value (₹ Cr)</t>
  </si>
  <si>
    <t xml:space="preserve">Equity Value (US$ bn)</t>
  </si>
  <si>
    <t xml:space="preserve">Implied premium/(discount) vs. last private round</t>
  </si>
  <si>
    <t xml:space="preserve">Implied premium/(discount) vs. IPO band midpoint</t>
  </si>
  <si>
    <t xml:space="preserve">How to use this workbook</t>
  </si>
  <si>
    <t xml:space="preserve">1. Assumptions — every driver of the model (growth, margins, working capital, WACC, terminal growth). Blue = hardcoded input; edit these to stress-test the model.</t>
  </si>
  <si>
    <t xml:space="preserve">2. Income Statement — fully formula-linked to Assumptions; historicals tie to Zepto's actual reported revenue and net loss (FY23A-FY26A, per the DRHP).</t>
  </si>
  <si>
    <t xml:space="preserve">3. Balance Sheet — fully linked; the Balance Check row (bottom) reads exactly 0 in every year, FY23A through FY33E.</t>
  </si>
  <si>
    <t xml:space="preserve">4. Cash Flow — indirect method; includes a funding-plug mechanism so cash never goes negative, mirroring Zepto's actual reliance on successive private funding rounds.</t>
  </si>
  <si>
    <t xml:space="preserve">5. DCF — unlevered FCF, WACC-discounted, Gordon Growth terminal value, plus a WACC x terminal-growth sensitivity grid.</t>
  </si>
  <si>
    <t xml:space="preserve">6. Cell comments throughout flag which figures are actual disclosed numbers vs. modeled analyst estimates — hover over any cell with a red comment marker for its source.</t>
  </si>
  <si>
    <t xml:space="preserve">Zepto (Kiranakart Technologies Ltd) — Financial Model Assumptions</t>
  </si>
  <si>
    <t xml:space="preserve">Quick-commerce grocery delivery | Founded 2021 | IPO-bound (DRHP filed with SEBI, June 2026)</t>
  </si>
  <si>
    <t xml:space="preserve">(₹ Crore unless noted)</t>
  </si>
  <si>
    <t xml:space="preserve">FY23A</t>
  </si>
  <si>
    <t xml:space="preserve">FY24A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</si>
  <si>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</si>
  <si>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</si>
  <si>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</si>
  <si>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</si>
  <si>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</si>
  <si>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FY32E</t>
  </si>
  <si>
    <t xml:space="preserve">FY33E</t>
  </si>
  <si>
    <t xml:space="preserve">A. REVENUE</t>
  </si>
  <si>
    <t xml:space="preserve">Revenue (₹ Cr)</t>
  </si>
  <si>
    <t xml:space="preserve">Revenue growth % YoY</t>
  </si>
  <si>
    <t xml:space="preserve">B. COST STRUCTURE (as % of Revenue)</t>
  </si>
  <si>
    <t xml:space="preserve">COGS / Procurement of traded goods, % of revenue</t>
  </si>
  <si>
    <t xml:space="preserve">Delivery &amp; handling, % of revenue</t>
  </si>
  <si>
    <t xml:space="preserve">Employee benefits, % of revenue</t>
  </si>
  <si>
    <t xml:space="preserve">Marketing &amp; advertising, % of revenue</t>
  </si>
  <si>
    <t xml:space="preserve">Technology &amp; cloud infrastructure, % of revenue</t>
  </si>
  <si>
    <t xml:space="preserve">G&amp;A / other opex, % of revenue</t>
  </si>
  <si>
    <t xml:space="preserve">plug</t>
  </si>
  <si>
    <t xml:space="preserve">C. D&amp;A, CAPEX, TAX &amp; WORKING CAPITAL</t>
  </si>
  <si>
    <t xml:space="preserve">D&amp;A, % of revenue</t>
  </si>
  <si>
    <t xml:space="preserve">Capex, % of revenue</t>
  </si>
  <si>
    <t xml:space="preserve">Corporate tax rate</t>
  </si>
  <si>
    <t xml:space="preserve">Days Sales Outstanding (Receivables)</t>
  </si>
  <si>
    <t xml:space="preserve">Days Payable Outstanding</t>
  </si>
  <si>
    <t xml:space="preserve">Inventory Days (of COGS)</t>
  </si>
  <si>
    <t xml:space="preserve">Minimum operating cash balance (₹ Cr)</t>
  </si>
  <si>
    <t xml:space="preserve">D. DISCOUNT RATE (WACC) &amp; TERMINAL VALUE</t>
  </si>
  <si>
    <t xml:space="preserve">Risk-free rate (India 10Y G-Sec)</t>
  </si>
  <si>
    <t xml:space="preserve">Equity risk premium (India)</t>
  </si>
  <si>
    <t xml:space="preserve">Levered beta</t>
  </si>
  <si>
    <t xml:space="preserve">Cost of equity (CAPM)</t>
  </si>
  <si>
    <t xml:space="preserve">Pre-tax cost of debt</t>
  </si>
  <si>
    <t xml:space="preserve">After-tax cost of debt</t>
  </si>
  <si>
    <t xml:space="preserve">Target capital structure — % equity</t>
  </si>
  <si>
    <t xml:space="preserve">Target capital structure — % debt</t>
  </si>
  <si>
    <t xml:space="preserve">USD/INR exchange rate</t>
  </si>
  <si>
    <t xml:space="preserve">E. VALUATION BENCHMARKS (for comparison only — not model inputs)</t>
  </si>
  <si>
    <t xml:space="preserve">Last private funding round valuation</t>
  </si>
  <si>
    <t xml:space="preserve">IPO price band — implied valuation (low)</t>
  </si>
  <si>
    <t xml:space="preserve">IPO price band — implied valuation (high)</t>
  </si>
  <si>
    <t xml:space="preserve">Zepto — Income Statement</t>
  </si>
  <si>
    <t xml:space="preserve">₹ Crore | FY23A-FY26A actual (DRHP), FY27E-FY33E projected</t>
  </si>
  <si>
    <t xml:space="preserve">  Revenue growth % YoY</t>
  </si>
  <si>
    <t xml:space="preserve">COGS / Procurement of traded goods</t>
  </si>
  <si>
    <t xml:space="preserve">Gross Profit</t>
  </si>
  <si>
    <t xml:space="preserve">  Gross margin %</t>
  </si>
  <si>
    <t xml:space="preserve">Operating Expenses</t>
  </si>
  <si>
    <t xml:space="preserve">Delivery &amp; handling</t>
  </si>
  <si>
    <t xml:space="preserve">Employee benefits expense</t>
  </si>
  <si>
    <t xml:space="preserve">Marketing &amp; advertising</t>
  </si>
  <si>
    <t xml:space="preserve">Technology &amp; cloud infrastructure</t>
  </si>
  <si>
    <t xml:space="preserve">G&amp;A / other opex</t>
  </si>
  <si>
    <t xml:space="preserve">Total Operating Expenses</t>
  </si>
  <si>
    <t xml:space="preserve">EBITDA</t>
  </si>
  <si>
    <t xml:space="preserve">  EBITDA margin %</t>
  </si>
  <si>
    <t xml:space="preserve">D&amp;A</t>
  </si>
  <si>
    <t xml:space="preserve">EBIT</t>
  </si>
  <si>
    <t xml:space="preserve">Other income / (finance costs), net</t>
  </si>
  <si>
    <t xml:space="preserve">Profit Before Tax</t>
  </si>
  <si>
    <t xml:space="preserve">Tax expense</t>
  </si>
  <si>
    <t xml:space="preserve">Net Income / (Loss)</t>
  </si>
  <si>
    <t xml:space="preserve">  Net margin %</t>
  </si>
  <si>
    <t xml:space="preserve">Zepto — Balance Sheet</t>
  </si>
  <si>
    <t xml:space="preserve">₹ Crore | FY23A-FY26A actual/estimated, FY27E-FY33E projected</t>
  </si>
  <si>
    <t xml:space="preserve">ASSETS</t>
  </si>
  <si>
    <t xml:space="preserve">Cash &amp; cash equivalents</t>
  </si>
  <si>
    <t xml:space="preserve">Trade receivables</t>
  </si>
  <si>
    <t xml:space="preserve">Inventory</t>
  </si>
  <si>
    <t xml:space="preserve">Other current assets</t>
  </si>
  <si>
    <t xml:space="preserve">Total Current Assets</t>
  </si>
  <si>
    <t xml:space="preserve">Property, plant &amp; equipment, net</t>
  </si>
  <si>
    <t xml:space="preserve">Other non-current assets (incl. intangibles)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</si>
  <si>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</si>
  <si>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</si>
  <si>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</si>
  <si>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</si>
  <si>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Other current liabilities &amp; provisions</t>
  </si>
  <si>
    <t xml:space="preserve">Total Current Liabilities</t>
  </si>
  <si>
    <t xml:space="preserve">Borrowings (long-term)</t>
  </si>
  <si>
    <t xml:space="preserve">TOTAL LIABILITIES</t>
  </si>
  <si>
    <t xml:space="preserve">EQUITY</t>
  </si>
  <si>
    <t xml:space="preserve">Share capital &amp; securities premium</t>
  </si>
  <si>
    <t xml:space="preserve">Retained earnings / (accumulated deficit)</t>
  </si>
  <si>
    <t xml:space="preserve">Total Equity</t>
  </si>
  <si>
    <t xml:space="preserve">TOTAL LIABILITIES &amp; EQUITY</t>
  </si>
  <si>
    <t xml:space="preserve">Balance Check (Assets - Liabilities &amp; Equity)</t>
  </si>
  <si>
    <t xml:space="preserve">Zepto — Cash Flow Statement</t>
  </si>
  <si>
    <t xml:space="preserve">₹ Crore | FY23A-FY26A modeled from actuals, FY27E-FY33E projected</t>
  </si>
  <si>
    <t xml:space="preserve">Cash Flow from Operations</t>
  </si>
  <si>
    <t xml:space="preserve">(+) D&amp;A</t>
  </si>
  <si>
    <t xml:space="preserve">(Increase) / decrease in receivables</t>
  </si>
  <si>
    <t xml:space="preserve">(Increase) / decrease in inventory</t>
  </si>
  <si>
    <t xml:space="preserve">(Increase) / decrease in other current assets</t>
  </si>
  <si>
    <t xml:space="preserve">Increase / (decrease) in payables</t>
  </si>
  <si>
    <t xml:space="preserve">Increase / (decrease) in other current liabilities</t>
  </si>
  <si>
    <t xml:space="preserve">Cash Flow from Investing</t>
  </si>
  <si>
    <t xml:space="preserve">Capital expenditure</t>
  </si>
  <si>
    <t xml:space="preserve">(Increase) / decrease in other non-current assets</t>
  </si>
  <si>
    <t xml:space="preserve">Cash Flow from Financing</t>
  </si>
  <si>
    <t xml:space="preserve">Beginning cash balance</t>
  </si>
  <si>
    <t xml:space="preserve">External equity funding raised (plug)</t>
  </si>
  <si>
    <t xml:space="preserve">Debt raised / (repaid)</t>
  </si>
  <si>
    <t xml:space="preserve">Net change in cash</t>
  </si>
  <si>
    <t xml:space="preserve">Ending cash balance</t>
  </si>
  <si>
    <t xml:space="preserve">Zepto — Discounted Cash Flow Valuation</t>
  </si>
  <si>
    <t xml:space="preserve">₹ Crore unless noted | Explicit forecast: FY27E-FY33E</t>
  </si>
  <si>
    <t xml:space="preserve">Unlevered Free Cash Flow Build</t>
  </si>
  <si>
    <t xml:space="preserve">Less: Tax on EBIT (unlevered, at marginal rate)</t>
  </si>
  <si>
    <t xml:space="preserve">NOPAT</t>
  </si>
  <si>
    <t xml:space="preserve">(–) Capital expenditure</t>
  </si>
  <si>
    <t xml:space="preserve">(–) Increase in net working capital</t>
  </si>
  <si>
    <t xml:space="preserve">Unlevered Free Cash Flow</t>
  </si>
  <si>
    <t xml:space="preserve">Discounting</t>
  </si>
  <si>
    <t xml:space="preserve">Discount period (years, end-of-year convention)</t>
  </si>
  <si>
    <t xml:space="preserve">Discount factor</t>
  </si>
  <si>
    <t xml:space="preserve">PV of Unlevered FCF</t>
  </si>
  <si>
    <t xml:space="preserve">Enterprise &amp; Equity Value</t>
  </si>
  <si>
    <t xml:space="preserve">Sum of PV of explicit-period FCF (FY27E-FY33E)</t>
  </si>
  <si>
    <t xml:space="preserve">Terminal value (Gordon Growth, at end of FY33E)</t>
  </si>
  <si>
    <t xml:space="preserve">PV of terminal value</t>
  </si>
  <si>
    <t xml:space="preserve">  Terminal value as % of Enterprise Value</t>
  </si>
  <si>
    <t xml:space="preserve">Enterprise Value</t>
  </si>
  <si>
    <t xml:space="preserve">Less: Net debt (Total debt – cash), as of FY26A</t>
  </si>
  <si>
    <t xml:space="preserve">Equity Value (US$ billion)</t>
  </si>
  <si>
    <t xml:space="preserve">Valuation Benchmarking (context, not model inputs)</t>
  </si>
  <si>
    <t xml:space="preserve">Implied premium / (discount) vs. last private round ($7.0bn, Oct-2025)</t>
  </si>
  <si>
    <t xml:space="preserve">Implied premium / (discount) vs. IPO band midpoint (~$5.78bn)</t>
  </si>
  <si>
    <t xml:space="preserve">Sensitivity: Equity Value (US$ bn) by WACC and Terminal Growth Rate</t>
  </si>
  <si>
    <t xml:space="preserve">WACC \ Terminal growth →</t>
  </si>
  <si>
    <t xml:space="preserve">Base case highlighted; other cells recalculate live off the formulas above.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</si>
</sst>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;\(0.0%\);\-"/>
    <numFmt numFmtId="167" formatCode="\$#,##0.00&quot; bn&quot;"/>
    <numFmt numFmtId="168" formatCode="0.0"/>
    <numFmt numFmtId="169" formatCode="0.00"/>
    <numFmt numFmtId="170" formatCode="\$#,##0.0&quot; bn&quot;"/>
    <numFmt numFmtId="171" formatCode="#,##0.00;\(#,##0.00\);\-"/>
    <numFmt numFmtId="172" formatCode="0"/>
    <numFmt numFmtId="173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  <fill>
      <patternFill patternType="solid">
        <fgColor rgb="FFBFBFBF"/>
        <bgColor rgb="FFB7B7B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5" min="3" style="0" width="20"/>
    <col collapsed="false" customWidth="true" hidden="false" outlineLevel="0" max="6" min="6" style="0" width="4"/>
  </cols>
  <sheetData>
    <row r="2" customFormat="false" ht="31.5" hidden="false" customHeight="true" outlineLevel="0" collapsed="false">
      <c r="B2" s="1" t="s">
        <v>0</v>
      </c>
      <c r="C2" s="1"/>
      <c r="D2" s="1"/>
      <c r="E2" s="1"/>
    </row>
    <row r="3" customFormat="false" ht="18" hidden="false" customHeight="tru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  <c r="C5" s="3"/>
      <c r="D5" s="3"/>
      <c r="E5" s="3"/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</row>
    <row r="7" customFormat="false" ht="15" hidden="false" customHeight="false" outlineLevel="0" collapsed="false">
      <c r="B7" s="4" t="s">
        <v>5</v>
      </c>
      <c r="C7" s="5" t="s">
        <v>6</v>
      </c>
      <c r="D7" s="5"/>
      <c r="E7" s="5"/>
    </row>
    <row r="8" customFormat="false" ht="15" hidden="false" customHeight="false" outlineLevel="0" collapsed="false">
      <c r="B8" s="4" t="s">
        <v>7</v>
      </c>
      <c r="C8" s="5" t="s">
        <v>8</v>
      </c>
      <c r="D8" s="5"/>
      <c r="E8" s="5"/>
    </row>
    <row r="9" customFormat="false" ht="15" hidden="false" customHeight="false" outlineLevel="0" collapsed="false">
      <c r="B9" s="4" t="s">
        <v>9</v>
      </c>
      <c r="C9" s="5" t="s">
        <v>10</v>
      </c>
      <c r="D9" s="5"/>
      <c r="E9" s="5"/>
    </row>
    <row r="10" customFormat="false" ht="15" hidden="false" customHeight="false" outlineLevel="0" collapsed="false">
      <c r="B10" s="4" t="s">
        <v>11</v>
      </c>
      <c r="C10" s="5" t="s">
        <v>12</v>
      </c>
      <c r="D10" s="5"/>
      <c r="E10" s="5"/>
    </row>
    <row r="12" customFormat="false" ht="15" hidden="false" customHeight="false" outlineLevel="0" collapsed="false">
      <c r="B12" s="3" t="s">
        <v>13</v>
      </c>
      <c r="C12" s="3"/>
      <c r="D12" s="3"/>
      <c r="E12" s="3"/>
    </row>
    <row r="13" customFormat="false" ht="15" hidden="false" customHeight="false" outlineLevel="0" collapsed="false">
      <c r="C13" s="6" t="s">
        <v>14</v>
      </c>
      <c r="D13" s="6" t="s">
        <v>15</v>
      </c>
      <c r="E13" s="6" t="s">
        <v>16</v>
      </c>
    </row>
    <row r="14" customFormat="false" ht="15" hidden="false" customHeight="false" outlineLevel="0" collapsed="false">
      <c r="B14" s="0" t="s">
        <v>17</v>
      </c>
      <c r="C14" s="7" t="n">
        <f aca="false">'Income Statement'!D6</f>
        <v>11110</v>
      </c>
      <c r="D14" s="7" t="n">
        <f aca="false">'Income Statement'!E6</f>
        <v>22624</v>
      </c>
      <c r="E14" s="8" t="n">
        <f aca="false">('Income Statement'!E6/'Income Statement'!B6)^(1/3)-1</f>
        <v>1.23553490319356</v>
      </c>
    </row>
    <row r="15" customFormat="false" ht="15" hidden="false" customHeight="false" outlineLevel="0" collapsed="false">
      <c r="B15" s="0" t="s">
        <v>18</v>
      </c>
      <c r="C15" s="7" t="n">
        <f aca="false">'Income Statement'!D27</f>
        <v>-4700.01</v>
      </c>
      <c r="D15" s="7" t="n">
        <f aca="false">'Income Statement'!E27</f>
        <v>-5905.0384</v>
      </c>
    </row>
    <row r="17" customFormat="false" ht="15" hidden="false" customHeight="false" outlineLevel="0" collapsed="false">
      <c r="B17" s="3" t="s">
        <v>19</v>
      </c>
      <c r="C17" s="3"/>
      <c r="D17" s="3"/>
      <c r="E17" s="3"/>
    </row>
    <row r="18" customFormat="false" ht="15" hidden="false" customHeight="false" outlineLevel="0" collapsed="false">
      <c r="B18" s="4" t="s">
        <v>20</v>
      </c>
      <c r="C18" s="9" t="n">
        <f aca="false">Assumptions!B36</f>
        <v>0.15110885</v>
      </c>
      <c r="D18" s="9"/>
    </row>
    <row r="19" customFormat="false" ht="15" hidden="false" customHeight="false" outlineLevel="0" collapsed="false">
      <c r="B19" s="4" t="s">
        <v>21</v>
      </c>
      <c r="C19" s="9" t="n">
        <f aca="false">Assumptions!B37</f>
        <v>0.05</v>
      </c>
      <c r="D19" s="9"/>
    </row>
    <row r="20" customFormat="false" ht="15" hidden="false" customHeight="false" outlineLevel="0" collapsed="false">
      <c r="B20" s="4" t="s">
        <v>22</v>
      </c>
      <c r="C20" s="10" t="n">
        <f aca="false">DCF!B25</f>
        <v>19678.446321404</v>
      </c>
      <c r="D20" s="10"/>
    </row>
    <row r="21" customFormat="false" ht="15" hidden="false" customHeight="false" outlineLevel="0" collapsed="false">
      <c r="B21" s="4" t="s">
        <v>23</v>
      </c>
      <c r="C21" s="10" t="n">
        <f aca="false">DCF!B27</f>
        <v>20678.446321404</v>
      </c>
      <c r="D21" s="10"/>
    </row>
    <row r="22" customFormat="false" ht="15" hidden="false" customHeight="false" outlineLevel="0" collapsed="false">
      <c r="B22" s="4" t="s">
        <v>24</v>
      </c>
      <c r="C22" s="11" t="n">
        <f aca="false">DCF!B28</f>
        <v>2.36325100816046</v>
      </c>
      <c r="D22" s="11"/>
    </row>
    <row r="23" customFormat="false" ht="15" hidden="false" customHeight="false" outlineLevel="0" collapsed="false">
      <c r="B23" s="4" t="s">
        <v>25</v>
      </c>
      <c r="C23" s="9" t="n">
        <f aca="false">DCF!B31</f>
        <v>-0.662392713119935</v>
      </c>
      <c r="D23" s="9"/>
    </row>
    <row r="24" customFormat="false" ht="15" hidden="false" customHeight="false" outlineLevel="0" collapsed="false">
      <c r="B24" s="4" t="s">
        <v>26</v>
      </c>
      <c r="C24" s="9" t="n">
        <f aca="false">DCF!B32</f>
        <v>-0.590779046205982</v>
      </c>
      <c r="D24" s="9"/>
    </row>
    <row r="26" customFormat="false" ht="15" hidden="false" customHeight="false" outlineLevel="0" collapsed="false">
      <c r="B26" s="3" t="s">
        <v>27</v>
      </c>
      <c r="C26" s="3"/>
      <c r="D26" s="3"/>
      <c r="E26" s="3"/>
    </row>
    <row r="27" customFormat="false" ht="15" hidden="false" customHeight="true" outlineLevel="0" collapsed="false">
      <c r="B27" s="12" t="s">
        <v>28</v>
      </c>
      <c r="C27" s="12"/>
      <c r="D27" s="12"/>
      <c r="E27" s="12"/>
    </row>
    <row r="28" customFormat="false" ht="15" hidden="false" customHeight="true" outlineLevel="0" collapsed="false">
      <c r="B28" s="12" t="s">
        <v>29</v>
      </c>
      <c r="C28" s="12"/>
      <c r="D28" s="12"/>
      <c r="E28" s="12"/>
    </row>
    <row r="29" customFormat="false" ht="15" hidden="false" customHeight="true" outlineLevel="0" collapsed="false">
      <c r="B29" s="12" t="s">
        <v>30</v>
      </c>
      <c r="C29" s="12"/>
      <c r="D29" s="12"/>
      <c r="E29" s="12"/>
    </row>
    <row r="30" customFormat="false" ht="15" hidden="false" customHeight="true" outlineLevel="0" collapsed="false">
      <c r="B30" s="12" t="s">
        <v>31</v>
      </c>
      <c r="C30" s="12"/>
      <c r="D30" s="12"/>
      <c r="E30" s="12"/>
    </row>
    <row r="31" customFormat="false" ht="15" hidden="false" customHeight="true" outlineLevel="0" collapsed="false">
      <c r="B31" s="12" t="s">
        <v>32</v>
      </c>
      <c r="C31" s="12"/>
      <c r="D31" s="12"/>
      <c r="E31" s="12"/>
    </row>
    <row r="32" customFormat="false" ht="15" hidden="false" customHeight="true" outlineLevel="0" collapsed="false">
      <c r="B32" s="12" t="s">
        <v>33</v>
      </c>
      <c r="C32" s="12"/>
      <c r="D32" s="12"/>
      <c r="E32" s="12"/>
    </row>
  </sheetData>
  <mergeCells count="24">
    <mergeCell ref="B2:E2"/>
    <mergeCell ref="B3:E3"/>
    <mergeCell ref="B5:E5"/>
    <mergeCell ref="C6:E6"/>
    <mergeCell ref="C7:E7"/>
    <mergeCell ref="C8:E8"/>
    <mergeCell ref="C9:E9"/>
    <mergeCell ref="C10:E10"/>
    <mergeCell ref="B12:E12"/>
    <mergeCell ref="B17:E17"/>
    <mergeCell ref="C18:D18"/>
    <mergeCell ref="C19:D19"/>
    <mergeCell ref="C20:D20"/>
    <mergeCell ref="C21:D21"/>
    <mergeCell ref="C22:D22"/>
    <mergeCell ref="C23:D23"/>
    <mergeCell ref="C24:D24"/>
    <mergeCell ref="B26:E26"/>
    <mergeCell ref="B27:E27"/>
    <mergeCell ref="B28:E28"/>
    <mergeCell ref="B29:E29"/>
    <mergeCell ref="B30:E30"/>
    <mergeCell ref="B31:E31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2" min="2" style="0" width="12"/>
  </cols>
  <sheetData>
    <row r="1" customFormat="false" ht="25.5" hidden="false" customHeight="true" outlineLevel="0" collapsed="false">
      <c r="A1" s="13" t="s">
        <v>34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.7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8" hidden="false" customHeight="true" outlineLevel="0" collapsed="false">
      <c r="A4" s="14" t="s">
        <v>36</v>
      </c>
      <c r="B4" s="15" t="s">
        <v>37</v>
      </c>
      <c r="C4" s="15" t="s">
        <v>38</v>
      </c>
      <c r="D4" s="15" t="s">
        <v>14</v>
      </c>
      <c r="E4" s="15" t="s">
        <v>15</v>
      </c>
      <c r="F4" s="15" t="s">
        <v>39</v>
      </c>
      <c r="G4" s="15" t="s">
        <v>40</v>
      </c>
      <c r="H4" s="15" t="s">
        <v>41</v>
      </c>
      <c r="I4" s="15" t="s">
        <v>42</v>
      </c>
      <c r="J4" s="15" t="s">
        <v>43</v>
      </c>
      <c r="K4" s="15" t="s">
        <v>44</v>
      </c>
      <c r="L4" s="15" t="s">
        <v>45</v>
      </c>
    </row>
    <row r="6" customFormat="false" ht="15.75" hidden="false" customHeight="true" outlineLevel="0" collapsed="false">
      <c r="A6" s="16" t="s">
        <v>46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false" outlineLevel="0" collapsed="false">
      <c r="A7" s="17" t="s">
        <v>47</v>
      </c>
      <c r="B7" s="18" t="n">
        <v>2025</v>
      </c>
      <c r="C7" s="18" t="n">
        <v>4454</v>
      </c>
      <c r="D7" s="18" t="n">
        <v>11110</v>
      </c>
      <c r="E7" s="18" t="n">
        <v>22624</v>
      </c>
      <c r="F7" s="18" t="n">
        <f aca="false">E7*(1+F8)</f>
        <v>35067.2</v>
      </c>
      <c r="G7" s="18" t="n">
        <f aca="false">F7*(1+G8)</f>
        <v>49094.08</v>
      </c>
      <c r="H7" s="18" t="n">
        <f aca="false">G7*(1+H8)</f>
        <v>63822.304</v>
      </c>
      <c r="I7" s="18" t="n">
        <f aca="false">H7*(1+I8)</f>
        <v>79139.65696</v>
      </c>
      <c r="J7" s="18" t="n">
        <f aca="false">I7*(1+J8)</f>
        <v>94176.1917824</v>
      </c>
      <c r="K7" s="18" t="n">
        <f aca="false">J7*(1+K8)</f>
        <v>108302.62054976</v>
      </c>
      <c r="L7" s="18" t="n">
        <f aca="false">K7*(1+L8)</f>
        <v>121298.935015731</v>
      </c>
    </row>
    <row r="8" customFormat="false" ht="15" hidden="false" customHeight="false" outlineLevel="0" collapsed="false">
      <c r="A8" s="19" t="s">
        <v>48</v>
      </c>
      <c r="B8" s="20"/>
      <c r="C8" s="20" t="n">
        <f aca="false">C7/B7-1</f>
        <v>1.19950617283951</v>
      </c>
      <c r="D8" s="20" t="n">
        <f aca="false">D7/C7-1</f>
        <v>1.49438706780422</v>
      </c>
      <c r="E8" s="20" t="n">
        <f aca="false">E7/D7-1</f>
        <v>1.03636363636364</v>
      </c>
      <c r="F8" s="20" t="n">
        <v>0.55</v>
      </c>
      <c r="G8" s="20" t="n">
        <v>0.4</v>
      </c>
      <c r="H8" s="20" t="n">
        <v>0.3</v>
      </c>
      <c r="I8" s="20" t="n">
        <v>0.24</v>
      </c>
      <c r="J8" s="20" t="n">
        <v>0.19</v>
      </c>
      <c r="K8" s="20" t="n">
        <v>0.15</v>
      </c>
      <c r="L8" s="20" t="n">
        <v>0.12</v>
      </c>
    </row>
    <row r="10" customFormat="false" ht="15.75" hidden="false" customHeight="true" outlineLevel="0" collapsed="false">
      <c r="A10" s="16" t="s">
        <v>49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customFormat="false" ht="15" hidden="false" customHeight="false" outlineLevel="0" collapsed="false">
      <c r="A11" s="19" t="s">
        <v>50</v>
      </c>
      <c r="B11" s="20" t="n">
        <v>0.82</v>
      </c>
      <c r="C11" s="20" t="n">
        <v>0.79</v>
      </c>
      <c r="D11" s="20" t="n">
        <v>0.755</v>
      </c>
      <c r="E11" s="20" t="n">
        <v>0.74</v>
      </c>
      <c r="F11" s="20" t="n">
        <v>0.725</v>
      </c>
      <c r="G11" s="20" t="n">
        <v>0.715</v>
      </c>
      <c r="H11" s="20" t="n">
        <v>0.705</v>
      </c>
      <c r="I11" s="20" t="n">
        <v>0.7</v>
      </c>
      <c r="J11" s="20" t="n">
        <v>0.695</v>
      </c>
      <c r="K11" s="20" t="n">
        <v>0.69</v>
      </c>
      <c r="L11" s="20" t="n">
        <v>0.685</v>
      </c>
    </row>
    <row r="12" customFormat="false" ht="15" hidden="false" customHeight="false" outlineLevel="0" collapsed="false">
      <c r="A12" s="19" t="s">
        <v>51</v>
      </c>
      <c r="B12" s="20" t="n">
        <v>0.16</v>
      </c>
      <c r="C12" s="20" t="n">
        <v>0.15</v>
      </c>
      <c r="D12" s="20" t="n">
        <v>0.14</v>
      </c>
      <c r="E12" s="20" t="n">
        <v>0.1347</v>
      </c>
      <c r="F12" s="20" t="n">
        <v>0.13</v>
      </c>
      <c r="G12" s="20" t="n">
        <v>0.126</v>
      </c>
      <c r="H12" s="20" t="n">
        <v>0.122</v>
      </c>
      <c r="I12" s="20" t="n">
        <v>0.118</v>
      </c>
      <c r="J12" s="20" t="n">
        <v>0.114</v>
      </c>
      <c r="K12" s="20" t="n">
        <v>0.111</v>
      </c>
      <c r="L12" s="20" t="n">
        <v>0.108</v>
      </c>
    </row>
    <row r="13" customFormat="false" ht="15" hidden="false" customHeight="false" outlineLevel="0" collapsed="false">
      <c r="A13" s="19" t="s">
        <v>52</v>
      </c>
      <c r="B13" s="20" t="n">
        <v>0.12</v>
      </c>
      <c r="C13" s="20" t="n">
        <v>0.1</v>
      </c>
      <c r="D13" s="20" t="n">
        <v>0.085</v>
      </c>
      <c r="E13" s="20" t="n">
        <v>0.0789</v>
      </c>
      <c r="F13" s="20" t="n">
        <v>0.072</v>
      </c>
      <c r="G13" s="20" t="n">
        <v>0.066</v>
      </c>
      <c r="H13" s="20" t="n">
        <v>0.061</v>
      </c>
      <c r="I13" s="20" t="n">
        <v>0.057</v>
      </c>
      <c r="J13" s="20" t="n">
        <v>0.053</v>
      </c>
      <c r="K13" s="20" t="n">
        <v>0.05</v>
      </c>
      <c r="L13" s="20" t="n">
        <v>0.048</v>
      </c>
    </row>
    <row r="14" customFormat="false" ht="15" hidden="false" customHeight="false" outlineLevel="0" collapsed="false">
      <c r="A14" s="19" t="s">
        <v>53</v>
      </c>
      <c r="B14" s="20" t="n">
        <v>0.15</v>
      </c>
      <c r="C14" s="20" t="n">
        <v>0.12</v>
      </c>
      <c r="D14" s="20" t="n">
        <v>0.085</v>
      </c>
      <c r="E14" s="20" t="n">
        <v>0.065</v>
      </c>
      <c r="F14" s="20" t="n">
        <v>0.058</v>
      </c>
      <c r="G14" s="20" t="n">
        <v>0.052</v>
      </c>
      <c r="H14" s="20" t="n">
        <v>0.047</v>
      </c>
      <c r="I14" s="20" t="n">
        <v>0.043</v>
      </c>
      <c r="J14" s="20" t="n">
        <v>0.04</v>
      </c>
      <c r="K14" s="20" t="n">
        <v>0.038</v>
      </c>
      <c r="L14" s="20" t="n">
        <v>0.036</v>
      </c>
    </row>
    <row r="15" customFormat="false" ht="15" hidden="false" customHeight="false" outlineLevel="0" collapsed="false">
      <c r="A15" s="19" t="s">
        <v>54</v>
      </c>
      <c r="B15" s="20" t="n">
        <v>0.03</v>
      </c>
      <c r="C15" s="20" t="n">
        <v>0.025</v>
      </c>
      <c r="D15" s="20" t="n">
        <v>0.021</v>
      </c>
      <c r="E15" s="20" t="n">
        <v>0.019</v>
      </c>
      <c r="F15" s="20" t="n">
        <v>0.018</v>
      </c>
      <c r="G15" s="20" t="n">
        <v>0.017</v>
      </c>
      <c r="H15" s="20" t="n">
        <v>0.017</v>
      </c>
      <c r="I15" s="20" t="n">
        <v>0.016</v>
      </c>
      <c r="J15" s="20" t="n">
        <v>0.016</v>
      </c>
      <c r="K15" s="20" t="n">
        <v>0.015</v>
      </c>
      <c r="L15" s="20" t="n">
        <v>0.015</v>
      </c>
    </row>
    <row r="16" customFormat="false" ht="15" hidden="false" customHeight="false" outlineLevel="0" collapsed="false">
      <c r="A16" s="19" t="s">
        <v>55</v>
      </c>
      <c r="B16" s="21" t="s">
        <v>56</v>
      </c>
      <c r="C16" s="21" t="s">
        <v>56</v>
      </c>
      <c r="D16" s="21" t="s">
        <v>56</v>
      </c>
      <c r="E16" s="21" t="s">
        <v>56</v>
      </c>
      <c r="F16" s="20" t="n">
        <v>0.075</v>
      </c>
      <c r="G16" s="20" t="n">
        <v>0.062</v>
      </c>
      <c r="H16" s="20" t="n">
        <v>0.052</v>
      </c>
      <c r="I16" s="20" t="n">
        <v>0.044</v>
      </c>
      <c r="J16" s="20" t="n">
        <v>0.038</v>
      </c>
      <c r="K16" s="20" t="n">
        <v>0.033</v>
      </c>
      <c r="L16" s="20" t="n">
        <v>0.029</v>
      </c>
    </row>
    <row r="18" customFormat="false" ht="15.75" hidden="false" customHeight="true" outlineLevel="0" collapsed="false">
      <c r="A18" s="16" t="s">
        <v>57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customFormat="false" ht="15" hidden="false" customHeight="false" outlineLevel="0" collapsed="false">
      <c r="A19" s="19" t="s">
        <v>58</v>
      </c>
      <c r="B19" s="20" t="n">
        <v>0.028</v>
      </c>
      <c r="C19" s="20" t="n">
        <v>0.026</v>
      </c>
      <c r="D19" s="20" t="n">
        <v>0.025</v>
      </c>
      <c r="E19" s="20" t="n">
        <v>0.024</v>
      </c>
      <c r="F19" s="20" t="n">
        <v>0.024</v>
      </c>
      <c r="G19" s="20" t="n">
        <v>0.024</v>
      </c>
      <c r="H19" s="20" t="n">
        <v>0.024</v>
      </c>
      <c r="I19" s="20" t="n">
        <v>0.024</v>
      </c>
      <c r="J19" s="20" t="n">
        <v>0.024</v>
      </c>
      <c r="K19" s="20" t="n">
        <v>0.024</v>
      </c>
      <c r="L19" s="20" t="n">
        <v>0.024</v>
      </c>
    </row>
    <row r="20" customFormat="false" ht="15" hidden="false" customHeight="false" outlineLevel="0" collapsed="false">
      <c r="A20" s="19" t="s">
        <v>59</v>
      </c>
      <c r="B20" s="20" t="n">
        <v>0.06</v>
      </c>
      <c r="C20" s="20" t="n">
        <v>0.05</v>
      </c>
      <c r="D20" s="20" t="n">
        <v>0.045</v>
      </c>
      <c r="E20" s="20" t="n">
        <v>0.042</v>
      </c>
      <c r="F20" s="20" t="n">
        <v>0.04</v>
      </c>
      <c r="G20" s="20" t="n">
        <v>0.037</v>
      </c>
      <c r="H20" s="20" t="n">
        <v>0.034</v>
      </c>
      <c r="I20" s="20" t="n">
        <v>0.031</v>
      </c>
      <c r="J20" s="20" t="n">
        <v>0.029</v>
      </c>
      <c r="K20" s="20" t="n">
        <v>0.027</v>
      </c>
      <c r="L20" s="20" t="n">
        <v>0.026</v>
      </c>
    </row>
    <row r="21" customFormat="false" ht="15" hidden="false" customHeight="false" outlineLevel="0" collapsed="false">
      <c r="A21" s="19" t="s">
        <v>60</v>
      </c>
      <c r="B21" s="20" t="n">
        <v>0.2517</v>
      </c>
      <c r="C21" s="20" t="n">
        <v>0.2517</v>
      </c>
      <c r="D21" s="20" t="n">
        <v>0.2517</v>
      </c>
      <c r="E21" s="20" t="n">
        <v>0.2517</v>
      </c>
      <c r="F21" s="20" t="n">
        <v>0.2517</v>
      </c>
      <c r="G21" s="20" t="n">
        <v>0.2517</v>
      </c>
      <c r="H21" s="20" t="n">
        <v>0.2517</v>
      </c>
      <c r="I21" s="20" t="n">
        <v>0.2517</v>
      </c>
      <c r="J21" s="20" t="n">
        <v>0.2517</v>
      </c>
      <c r="K21" s="20" t="n">
        <v>0.2517</v>
      </c>
      <c r="L21" s="20" t="n">
        <v>0.2517</v>
      </c>
    </row>
    <row r="22" customFormat="false" ht="15" hidden="false" customHeight="false" outlineLevel="0" collapsed="false">
      <c r="A22" s="19" t="s">
        <v>61</v>
      </c>
      <c r="B22" s="22" t="n">
        <v>12</v>
      </c>
      <c r="C22" s="22" t="n">
        <v>13</v>
      </c>
      <c r="D22" s="22" t="n">
        <v>14</v>
      </c>
      <c r="E22" s="22" t="n">
        <v>15</v>
      </c>
      <c r="F22" s="22" t="n">
        <v>15</v>
      </c>
      <c r="G22" s="22" t="n">
        <v>15</v>
      </c>
      <c r="H22" s="22" t="n">
        <v>15</v>
      </c>
      <c r="I22" s="22" t="n">
        <v>15</v>
      </c>
      <c r="J22" s="22" t="n">
        <v>15</v>
      </c>
      <c r="K22" s="22" t="n">
        <v>15</v>
      </c>
      <c r="L22" s="22" t="n">
        <v>15</v>
      </c>
    </row>
    <row r="23" customFormat="false" ht="15" hidden="false" customHeight="false" outlineLevel="0" collapsed="false">
      <c r="A23" s="19" t="s">
        <v>62</v>
      </c>
      <c r="B23" s="22" t="n">
        <v>35</v>
      </c>
      <c r="C23" s="22" t="n">
        <v>38</v>
      </c>
      <c r="D23" s="22" t="n">
        <v>40</v>
      </c>
      <c r="E23" s="22" t="n">
        <v>42</v>
      </c>
      <c r="F23" s="22" t="n">
        <v>42</v>
      </c>
      <c r="G23" s="22" t="n">
        <v>42</v>
      </c>
      <c r="H23" s="22" t="n">
        <v>42</v>
      </c>
      <c r="I23" s="22" t="n">
        <v>42</v>
      </c>
      <c r="J23" s="22" t="n">
        <v>42</v>
      </c>
      <c r="K23" s="22" t="n">
        <v>42</v>
      </c>
      <c r="L23" s="22" t="n">
        <v>42</v>
      </c>
    </row>
    <row r="24" customFormat="false" ht="15" hidden="false" customHeight="false" outlineLevel="0" collapsed="false">
      <c r="A24" s="19" t="s">
        <v>63</v>
      </c>
      <c r="B24" s="22" t="n">
        <v>8</v>
      </c>
      <c r="C24" s="22" t="n">
        <v>9</v>
      </c>
      <c r="D24" s="22" t="n">
        <v>10</v>
      </c>
      <c r="E24" s="22" t="n">
        <v>10</v>
      </c>
      <c r="F24" s="22" t="n">
        <v>10</v>
      </c>
      <c r="G24" s="22" t="n">
        <v>10</v>
      </c>
      <c r="H24" s="22" t="n">
        <v>10</v>
      </c>
      <c r="I24" s="22" t="n">
        <v>10</v>
      </c>
      <c r="J24" s="22" t="n">
        <v>10</v>
      </c>
      <c r="K24" s="22" t="n">
        <v>10</v>
      </c>
      <c r="L24" s="22" t="n">
        <v>10</v>
      </c>
    </row>
    <row r="25" customFormat="false" ht="15" hidden="false" customHeight="false" outlineLevel="0" collapsed="false">
      <c r="A25" s="19" t="s">
        <v>64</v>
      </c>
      <c r="B25" s="23" t="n">
        <v>1000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7" customFormat="false" ht="15.75" hidden="false" customHeight="true" outlineLevel="0" collapsed="false">
      <c r="A27" s="16" t="s">
        <v>65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customFormat="false" ht="15" hidden="false" customHeight="false" outlineLevel="0" collapsed="false">
      <c r="A28" s="19" t="s">
        <v>66</v>
      </c>
      <c r="B28" s="24" t="n">
        <v>0.069</v>
      </c>
      <c r="C28" s="24"/>
    </row>
    <row r="29" customFormat="false" ht="15" hidden="false" customHeight="false" outlineLevel="0" collapsed="false">
      <c r="A29" s="19" t="s">
        <v>67</v>
      </c>
      <c r="B29" s="24" t="n">
        <v>0.07</v>
      </c>
      <c r="C29" s="24"/>
    </row>
    <row r="30" customFormat="false" ht="15" hidden="false" customHeight="false" outlineLevel="0" collapsed="false">
      <c r="A30" s="19" t="s">
        <v>68</v>
      </c>
      <c r="B30" s="25" t="n">
        <v>1.3</v>
      </c>
      <c r="C30" s="25"/>
    </row>
    <row r="31" customFormat="false" ht="15" hidden="false" customHeight="false" outlineLevel="0" collapsed="false">
      <c r="A31" s="17" t="s">
        <v>69</v>
      </c>
      <c r="B31" s="26" t="n">
        <f aca="false">B28+B30*B29</f>
        <v>0.16</v>
      </c>
      <c r="C31" s="26"/>
    </row>
    <row r="32" customFormat="false" ht="15" hidden="false" customHeight="false" outlineLevel="0" collapsed="false">
      <c r="A32" s="19" t="s">
        <v>70</v>
      </c>
      <c r="B32" s="24" t="n">
        <v>0.095</v>
      </c>
      <c r="C32" s="24"/>
    </row>
    <row r="33" customFormat="false" ht="15" hidden="false" customHeight="false" outlineLevel="0" collapsed="false">
      <c r="A33" s="19" t="s">
        <v>71</v>
      </c>
      <c r="B33" s="26" t="n">
        <f aca="false">B32*(1-B21)</f>
        <v>0.0710885</v>
      </c>
      <c r="C33" s="26"/>
    </row>
    <row r="34" customFormat="false" ht="15" hidden="false" customHeight="false" outlineLevel="0" collapsed="false">
      <c r="A34" s="19" t="s">
        <v>72</v>
      </c>
      <c r="B34" s="24" t="n">
        <v>0.9</v>
      </c>
      <c r="C34" s="24"/>
    </row>
    <row r="35" customFormat="false" ht="15" hidden="false" customHeight="false" outlineLevel="0" collapsed="false">
      <c r="A35" s="19" t="s">
        <v>73</v>
      </c>
      <c r="B35" s="26" t="n">
        <f aca="false">1-B34</f>
        <v>0.1</v>
      </c>
      <c r="C35" s="26"/>
    </row>
    <row r="36" customFormat="false" ht="15" hidden="false" customHeight="false" outlineLevel="0" collapsed="false">
      <c r="A36" s="17" t="s">
        <v>20</v>
      </c>
      <c r="B36" s="27" t="n">
        <f aca="false">B34*B31+B35*B33</f>
        <v>0.15110885</v>
      </c>
      <c r="C36" s="27"/>
    </row>
    <row r="37" customFormat="false" ht="15" hidden="false" customHeight="false" outlineLevel="0" collapsed="false">
      <c r="A37" s="17" t="s">
        <v>21</v>
      </c>
      <c r="B37" s="28" t="n">
        <v>0.05</v>
      </c>
      <c r="C37" s="28"/>
    </row>
    <row r="38" customFormat="false" ht="15" hidden="false" customHeight="false" outlineLevel="0" collapsed="false">
      <c r="A38" s="19" t="s">
        <v>74</v>
      </c>
      <c r="B38" s="25" t="n">
        <v>87.5</v>
      </c>
      <c r="C38" s="25"/>
    </row>
    <row r="40" customFormat="false" ht="15.75" hidden="false" customHeight="true" outlineLevel="0" collapsed="false">
      <c r="A40" s="16" t="s">
        <v>75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customFormat="false" ht="15" hidden="false" customHeight="false" outlineLevel="0" collapsed="false">
      <c r="A41" s="19" t="s">
        <v>76</v>
      </c>
      <c r="B41" s="29" t="n">
        <v>7</v>
      </c>
      <c r="C41" s="29"/>
    </row>
    <row r="42" customFormat="false" ht="15" hidden="false" customHeight="false" outlineLevel="0" collapsed="false">
      <c r="A42" s="19" t="s">
        <v>77</v>
      </c>
      <c r="B42" s="29" t="n">
        <v>5.6</v>
      </c>
      <c r="C42" s="29"/>
    </row>
    <row r="43" customFormat="false" ht="15" hidden="false" customHeight="false" outlineLevel="0" collapsed="false">
      <c r="A43" s="19" t="s">
        <v>78</v>
      </c>
      <c r="B43" s="29" t="n">
        <v>5.95</v>
      </c>
      <c r="C43" s="29"/>
    </row>
  </sheetData>
  <mergeCells count="22">
    <mergeCell ref="A1:L1"/>
    <mergeCell ref="A2:L2"/>
    <mergeCell ref="A6:L6"/>
    <mergeCell ref="A10:L10"/>
    <mergeCell ref="A18:L18"/>
    <mergeCell ref="B25:L25"/>
    <mergeCell ref="A27:L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A40:L40"/>
    <mergeCell ref="B41:C41"/>
    <mergeCell ref="B42:C42"/>
    <mergeCell ref="B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2"/>
  </cols>
  <sheetData>
    <row r="1" customFormat="false" ht="25.5" hidden="false" customHeight="true" outlineLevel="0" collapsed="false">
      <c r="A1" s="13" t="s">
        <v>79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.75" hidden="false" customHeight="true" outlineLevel="0" collapsed="false">
      <c r="A2" s="2" t="s">
        <v>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8" hidden="false" customHeight="true" outlineLevel="0" collapsed="false">
      <c r="A4" s="14" t="s">
        <v>36</v>
      </c>
      <c r="B4" s="15" t="s">
        <v>37</v>
      </c>
      <c r="C4" s="15" t="s">
        <v>38</v>
      </c>
      <c r="D4" s="15" t="s">
        <v>14</v>
      </c>
      <c r="E4" s="15" t="s">
        <v>15</v>
      </c>
      <c r="F4" s="15" t="s">
        <v>39</v>
      </c>
      <c r="G4" s="15" t="s">
        <v>40</v>
      </c>
      <c r="H4" s="15" t="s">
        <v>41</v>
      </c>
      <c r="I4" s="15" t="s">
        <v>42</v>
      </c>
      <c r="J4" s="15" t="s">
        <v>43</v>
      </c>
      <c r="K4" s="15" t="s">
        <v>44</v>
      </c>
      <c r="L4" s="15" t="s">
        <v>45</v>
      </c>
    </row>
    <row r="6" customFormat="false" ht="15" hidden="false" customHeight="false" outlineLevel="0" collapsed="false">
      <c r="A6" s="17" t="s">
        <v>17</v>
      </c>
      <c r="B6" s="30" t="n">
        <f aca="false">Assumptions!B7</f>
        <v>2025</v>
      </c>
      <c r="C6" s="30" t="n">
        <f aca="false">Assumptions!C7</f>
        <v>4454</v>
      </c>
      <c r="D6" s="30" t="n">
        <f aca="false">Assumptions!D7</f>
        <v>11110</v>
      </c>
      <c r="E6" s="30" t="n">
        <f aca="false">Assumptions!E7</f>
        <v>22624</v>
      </c>
      <c r="F6" s="30" t="n">
        <f aca="false">Assumptions!F7</f>
        <v>35067.2</v>
      </c>
      <c r="G6" s="30" t="n">
        <f aca="false">Assumptions!G7</f>
        <v>49094.08</v>
      </c>
      <c r="H6" s="30" t="n">
        <f aca="false">Assumptions!H7</f>
        <v>63822.304</v>
      </c>
      <c r="I6" s="30" t="n">
        <f aca="false">Assumptions!I7</f>
        <v>79139.65696</v>
      </c>
      <c r="J6" s="30" t="n">
        <f aca="false">Assumptions!J7</f>
        <v>94176.1917824</v>
      </c>
      <c r="K6" s="30" t="n">
        <f aca="false">Assumptions!K7</f>
        <v>108302.62054976</v>
      </c>
      <c r="L6" s="30" t="n">
        <f aca="false">Assumptions!L7</f>
        <v>121298.935015731</v>
      </c>
    </row>
    <row r="7" customFormat="false" ht="15" hidden="false" customHeight="false" outlineLevel="0" collapsed="false">
      <c r="A7" s="31" t="s">
        <v>81</v>
      </c>
      <c r="B7" s="32"/>
      <c r="C7" s="32" t="n">
        <f aca="false">C6/B6-1</f>
        <v>1.19950617283951</v>
      </c>
      <c r="D7" s="32" t="n">
        <f aca="false">D6/C6-1</f>
        <v>1.49438706780422</v>
      </c>
      <c r="E7" s="32" t="n">
        <f aca="false">E6/D6-1</f>
        <v>1.03636363636364</v>
      </c>
      <c r="F7" s="32" t="n">
        <f aca="false">F6/E6-1</f>
        <v>0.55</v>
      </c>
      <c r="G7" s="32" t="n">
        <f aca="false">G6/F6-1</f>
        <v>0.4</v>
      </c>
      <c r="H7" s="32" t="n">
        <f aca="false">H6/G6-1</f>
        <v>0.3</v>
      </c>
      <c r="I7" s="32" t="n">
        <f aca="false">I6/H6-1</f>
        <v>0.24</v>
      </c>
      <c r="J7" s="32" t="n">
        <f aca="false">J6/I6-1</f>
        <v>0.19</v>
      </c>
      <c r="K7" s="32" t="n">
        <f aca="false">K6/J6-1</f>
        <v>0.15</v>
      </c>
      <c r="L7" s="32" t="n">
        <f aca="false">L6/K6-1</f>
        <v>0.12</v>
      </c>
    </row>
    <row r="9" customFormat="false" ht="15" hidden="false" customHeight="false" outlineLevel="0" collapsed="false">
      <c r="A9" s="19" t="s">
        <v>82</v>
      </c>
      <c r="B9" s="7" t="n">
        <f aca="false">-B6*Assumptions!B11</f>
        <v>-1660.5</v>
      </c>
      <c r="C9" s="7" t="n">
        <f aca="false">-C6*Assumptions!C11</f>
        <v>-3518.66</v>
      </c>
      <c r="D9" s="7" t="n">
        <f aca="false">-D6*Assumptions!D11</f>
        <v>-8388.05</v>
      </c>
      <c r="E9" s="7" t="n">
        <f aca="false">-E6*Assumptions!E11</f>
        <v>-16741.76</v>
      </c>
      <c r="F9" s="7" t="n">
        <f aca="false">-F6*Assumptions!F11</f>
        <v>-25423.72</v>
      </c>
      <c r="G9" s="7" t="n">
        <f aca="false">-G6*Assumptions!G11</f>
        <v>-35102.2672</v>
      </c>
      <c r="H9" s="7" t="n">
        <f aca="false">-H6*Assumptions!H11</f>
        <v>-44994.72432</v>
      </c>
      <c r="I9" s="7" t="n">
        <f aca="false">-I6*Assumptions!I11</f>
        <v>-55397.759872</v>
      </c>
      <c r="J9" s="7" t="n">
        <f aca="false">-J6*Assumptions!J11</f>
        <v>-65452.453288768</v>
      </c>
      <c r="K9" s="7" t="n">
        <f aca="false">-K6*Assumptions!K11</f>
        <v>-74728.8081793344</v>
      </c>
      <c r="L9" s="7" t="n">
        <f aca="false">-L6*Assumptions!L11</f>
        <v>-83089.7704857759</v>
      </c>
    </row>
    <row r="10" customFormat="false" ht="15" hidden="false" customHeight="false" outlineLevel="0" collapsed="false">
      <c r="A10" s="17" t="s">
        <v>83</v>
      </c>
      <c r="B10" s="33" t="n">
        <f aca="false">B6+B9</f>
        <v>364.5</v>
      </c>
      <c r="C10" s="33" t="n">
        <f aca="false">C6+C9</f>
        <v>935.34</v>
      </c>
      <c r="D10" s="33" t="n">
        <f aca="false">D6+D9</f>
        <v>2721.95</v>
      </c>
      <c r="E10" s="33" t="n">
        <f aca="false">E6+E9</f>
        <v>5882.24</v>
      </c>
      <c r="F10" s="33" t="n">
        <f aca="false">F6+F9</f>
        <v>9643.48</v>
      </c>
      <c r="G10" s="33" t="n">
        <f aca="false">G6+G9</f>
        <v>13991.8128</v>
      </c>
      <c r="H10" s="33" t="n">
        <f aca="false">H6+H9</f>
        <v>18827.57968</v>
      </c>
      <c r="I10" s="33" t="n">
        <f aca="false">I6+I9</f>
        <v>23741.897088</v>
      </c>
      <c r="J10" s="33" t="n">
        <f aca="false">J6+J9</f>
        <v>28723.738493632</v>
      </c>
      <c r="K10" s="33" t="n">
        <f aca="false">K6+K9</f>
        <v>33573.8123704256</v>
      </c>
      <c r="L10" s="33" t="n">
        <f aca="false">L6+L9</f>
        <v>38209.1645299553</v>
      </c>
    </row>
    <row r="11" customFormat="false" ht="15" hidden="false" customHeight="false" outlineLevel="0" collapsed="false">
      <c r="A11" s="31" t="s">
        <v>84</v>
      </c>
      <c r="B11" s="32" t="n">
        <f aca="false">B10/B6</f>
        <v>0.18</v>
      </c>
      <c r="C11" s="32" t="n">
        <f aca="false">C10/C6</f>
        <v>0.21</v>
      </c>
      <c r="D11" s="32" t="n">
        <f aca="false">D10/D6</f>
        <v>0.245</v>
      </c>
      <c r="E11" s="32" t="n">
        <f aca="false">E10/E6</f>
        <v>0.26</v>
      </c>
      <c r="F11" s="32" t="n">
        <f aca="false">F10/F6</f>
        <v>0.275</v>
      </c>
      <c r="G11" s="32" t="n">
        <f aca="false">G10/G6</f>
        <v>0.285</v>
      </c>
      <c r="H11" s="32" t="n">
        <f aca="false">H10/H6</f>
        <v>0.295</v>
      </c>
      <c r="I11" s="32" t="n">
        <f aca="false">I10/I6</f>
        <v>0.3</v>
      </c>
      <c r="J11" s="32" t="n">
        <f aca="false">J10/J6</f>
        <v>0.305</v>
      </c>
      <c r="K11" s="32" t="n">
        <f aca="false">K10/K6</f>
        <v>0.31</v>
      </c>
      <c r="L11" s="32" t="n">
        <f aca="false">L10/L6</f>
        <v>0.315</v>
      </c>
    </row>
    <row r="13" customFormat="false" ht="15.75" hidden="false" customHeight="true" outlineLevel="0" collapsed="false">
      <c r="A13" s="16" t="s">
        <v>85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customFormat="false" ht="15" hidden="false" customHeight="false" outlineLevel="0" collapsed="false">
      <c r="A14" s="19" t="s">
        <v>86</v>
      </c>
      <c r="B14" s="7" t="n">
        <f aca="false">-B6*Assumptions!B12</f>
        <v>-324</v>
      </c>
      <c r="C14" s="7" t="n">
        <f aca="false">-C6*Assumptions!C12</f>
        <v>-668.1</v>
      </c>
      <c r="D14" s="7" t="n">
        <f aca="false">-D6*Assumptions!D12</f>
        <v>-1555.4</v>
      </c>
      <c r="E14" s="7" t="n">
        <f aca="false">-E6*Assumptions!E12</f>
        <v>-3047.4528</v>
      </c>
      <c r="F14" s="7" t="n">
        <f aca="false">-F6*Assumptions!F12</f>
        <v>-4558.736</v>
      </c>
      <c r="G14" s="7" t="n">
        <f aca="false">-G6*Assumptions!G12</f>
        <v>-6185.85408</v>
      </c>
      <c r="H14" s="7" t="n">
        <f aca="false">-H6*Assumptions!H12</f>
        <v>-7786.321088</v>
      </c>
      <c r="I14" s="7" t="n">
        <f aca="false">-I6*Assumptions!I12</f>
        <v>-9338.47952128</v>
      </c>
      <c r="J14" s="7" t="n">
        <f aca="false">-J6*Assumptions!J12</f>
        <v>-10736.0858631936</v>
      </c>
      <c r="K14" s="7" t="n">
        <f aca="false">-K6*Assumptions!K12</f>
        <v>-12021.5908810234</v>
      </c>
      <c r="L14" s="7" t="n">
        <f aca="false">-L6*Assumptions!L12</f>
        <v>-13100.284981699</v>
      </c>
    </row>
    <row r="15" customFormat="false" ht="15" hidden="false" customHeight="false" outlineLevel="0" collapsed="false">
      <c r="A15" s="19" t="s">
        <v>87</v>
      </c>
      <c r="B15" s="7" t="n">
        <f aca="false">-B6*Assumptions!B13</f>
        <v>-243</v>
      </c>
      <c r="C15" s="7" t="n">
        <f aca="false">-C6*Assumptions!C13</f>
        <v>-445.4</v>
      </c>
      <c r="D15" s="7" t="n">
        <f aca="false">-D6*Assumptions!D13</f>
        <v>-944.35</v>
      </c>
      <c r="E15" s="7" t="n">
        <f aca="false">-E6*Assumptions!E13</f>
        <v>-1785.0336</v>
      </c>
      <c r="F15" s="7" t="n">
        <f aca="false">-F6*Assumptions!F13</f>
        <v>-2524.8384</v>
      </c>
      <c r="G15" s="7" t="n">
        <f aca="false">-G6*Assumptions!G13</f>
        <v>-3240.20928</v>
      </c>
      <c r="H15" s="7" t="n">
        <f aca="false">-H6*Assumptions!H13</f>
        <v>-3893.160544</v>
      </c>
      <c r="I15" s="7" t="n">
        <f aca="false">-I6*Assumptions!I13</f>
        <v>-4510.96044672</v>
      </c>
      <c r="J15" s="7" t="n">
        <f aca="false">-J6*Assumptions!J13</f>
        <v>-4991.3381644672</v>
      </c>
      <c r="K15" s="7" t="n">
        <f aca="false">-K6*Assumptions!K13</f>
        <v>-5415.131027488</v>
      </c>
      <c r="L15" s="7" t="n">
        <f aca="false">-L6*Assumptions!L13</f>
        <v>-5822.3488807551</v>
      </c>
    </row>
    <row r="16" customFormat="false" ht="15" hidden="false" customHeight="false" outlineLevel="0" collapsed="false">
      <c r="A16" s="19" t="s">
        <v>88</v>
      </c>
      <c r="B16" s="7" t="n">
        <f aca="false">-B6*Assumptions!B14</f>
        <v>-303.75</v>
      </c>
      <c r="C16" s="7" t="n">
        <f aca="false">-C6*Assumptions!C14</f>
        <v>-534.48</v>
      </c>
      <c r="D16" s="7" t="n">
        <f aca="false">-D6*Assumptions!D14</f>
        <v>-944.35</v>
      </c>
      <c r="E16" s="7" t="n">
        <f aca="false">-E6*Assumptions!E14</f>
        <v>-1470.56</v>
      </c>
      <c r="F16" s="7" t="n">
        <f aca="false">-F6*Assumptions!F14</f>
        <v>-2033.8976</v>
      </c>
      <c r="G16" s="7" t="n">
        <f aca="false">-G6*Assumptions!G14</f>
        <v>-2552.89216</v>
      </c>
      <c r="H16" s="7" t="n">
        <f aca="false">-H6*Assumptions!H14</f>
        <v>-2999.648288</v>
      </c>
      <c r="I16" s="7" t="n">
        <f aca="false">-I6*Assumptions!I14</f>
        <v>-3403.00524928</v>
      </c>
      <c r="J16" s="7" t="n">
        <f aca="false">-J6*Assumptions!J14</f>
        <v>-3767.047671296</v>
      </c>
      <c r="K16" s="7" t="n">
        <f aca="false">-K6*Assumptions!K14</f>
        <v>-4115.49958089088</v>
      </c>
      <c r="L16" s="7" t="n">
        <f aca="false">-L6*Assumptions!L14</f>
        <v>-4366.76166056632</v>
      </c>
    </row>
    <row r="17" customFormat="false" ht="15" hidden="false" customHeight="false" outlineLevel="0" collapsed="false">
      <c r="A17" s="19" t="s">
        <v>89</v>
      </c>
      <c r="B17" s="7" t="n">
        <f aca="false">-B6*Assumptions!B15</f>
        <v>-60.75</v>
      </c>
      <c r="C17" s="7" t="n">
        <f aca="false">-C6*Assumptions!C15</f>
        <v>-111.35</v>
      </c>
      <c r="D17" s="7" t="n">
        <f aca="false">-D6*Assumptions!D15</f>
        <v>-233.31</v>
      </c>
      <c r="E17" s="7" t="n">
        <f aca="false">-E6*Assumptions!E15</f>
        <v>-429.856</v>
      </c>
      <c r="F17" s="7" t="n">
        <f aca="false">-F6*Assumptions!F15</f>
        <v>-631.2096</v>
      </c>
      <c r="G17" s="7" t="n">
        <f aca="false">-G6*Assumptions!G15</f>
        <v>-834.59936</v>
      </c>
      <c r="H17" s="7" t="n">
        <f aca="false">-H6*Assumptions!H15</f>
        <v>-1084.979168</v>
      </c>
      <c r="I17" s="7" t="n">
        <f aca="false">-I6*Assumptions!I15</f>
        <v>-1266.23451136</v>
      </c>
      <c r="J17" s="7" t="n">
        <f aca="false">-J6*Assumptions!J15</f>
        <v>-1506.8190685184</v>
      </c>
      <c r="K17" s="7" t="n">
        <f aca="false">-K6*Assumptions!K15</f>
        <v>-1624.5393082464</v>
      </c>
      <c r="L17" s="7" t="n">
        <f aca="false">-L6*Assumptions!L15</f>
        <v>-1819.48402523597</v>
      </c>
    </row>
    <row r="18" customFormat="false" ht="15" hidden="false" customHeight="false" outlineLevel="0" collapsed="false">
      <c r="A18" s="19" t="s">
        <v>90</v>
      </c>
      <c r="B18" s="34" t="n">
        <v>-648.3</v>
      </c>
      <c r="C18" s="34" t="n">
        <v>-275.2</v>
      </c>
      <c r="D18" s="34" t="n">
        <v>-3466.8</v>
      </c>
      <c r="E18" s="34" t="n">
        <v>-4511.4</v>
      </c>
      <c r="F18" s="7" t="n">
        <f aca="false">-F6*Assumptions!F16</f>
        <v>-2630.04</v>
      </c>
      <c r="G18" s="7" t="n">
        <f aca="false">-G6*Assumptions!G16</f>
        <v>-3043.83296</v>
      </c>
      <c r="H18" s="7" t="n">
        <f aca="false">-H6*Assumptions!H16</f>
        <v>-3318.759808</v>
      </c>
      <c r="I18" s="7" t="n">
        <f aca="false">-I6*Assumptions!I16</f>
        <v>-3482.14490624</v>
      </c>
      <c r="J18" s="7" t="n">
        <f aca="false">-J6*Assumptions!J16</f>
        <v>-3578.6952877312</v>
      </c>
      <c r="K18" s="7" t="n">
        <f aca="false">-K6*Assumptions!K16</f>
        <v>-3573.98647814208</v>
      </c>
      <c r="L18" s="7" t="n">
        <f aca="false">-L6*Assumptions!L16</f>
        <v>-3517.66911545621</v>
      </c>
    </row>
    <row r="19" customFormat="false" ht="15" hidden="false" customHeight="false" outlineLevel="0" collapsed="false">
      <c r="A19" s="17" t="s">
        <v>91</v>
      </c>
      <c r="B19" s="33" t="n">
        <f aca="false">SUM(B14:B18)</f>
        <v>-1579.8</v>
      </c>
      <c r="C19" s="33" t="n">
        <f aca="false">SUM(C14:C18)</f>
        <v>-2034.53</v>
      </c>
      <c r="D19" s="33" t="n">
        <f aca="false">SUM(D14:D18)</f>
        <v>-7144.21</v>
      </c>
      <c r="E19" s="33" t="n">
        <f aca="false">SUM(E14:E18)</f>
        <v>-11244.3024</v>
      </c>
      <c r="F19" s="33" t="n">
        <f aca="false">SUM(F14:F18)</f>
        <v>-12378.7216</v>
      </c>
      <c r="G19" s="33" t="n">
        <f aca="false">SUM(G14:G18)</f>
        <v>-15857.38784</v>
      </c>
      <c r="H19" s="33" t="n">
        <f aca="false">SUM(H14:H18)</f>
        <v>-19082.868896</v>
      </c>
      <c r="I19" s="33" t="n">
        <f aca="false">SUM(I14:I18)</f>
        <v>-22000.82463488</v>
      </c>
      <c r="J19" s="33" t="n">
        <f aca="false">SUM(J14:J18)</f>
        <v>-24579.9860552064</v>
      </c>
      <c r="K19" s="33" t="n">
        <f aca="false">SUM(K14:K18)</f>
        <v>-26750.7472757907</v>
      </c>
      <c r="L19" s="33" t="n">
        <f aca="false">SUM(L14:L18)</f>
        <v>-28626.5486637126</v>
      </c>
    </row>
    <row r="20" customFormat="false" ht="15" hidden="false" customHeight="false" outlineLevel="0" collapsed="false">
      <c r="A20" s="17" t="s">
        <v>92</v>
      </c>
      <c r="B20" s="18" t="n">
        <f aca="false">B10+B19</f>
        <v>-1215.3</v>
      </c>
      <c r="C20" s="18" t="n">
        <f aca="false">C10+C19</f>
        <v>-1099.19</v>
      </c>
      <c r="D20" s="18" t="n">
        <f aca="false">D10+D19</f>
        <v>-4422.26</v>
      </c>
      <c r="E20" s="18" t="n">
        <f aca="false">E10+E19</f>
        <v>-5362.0624</v>
      </c>
      <c r="F20" s="18" t="n">
        <f aca="false">F10+F19</f>
        <v>-2735.2416</v>
      </c>
      <c r="G20" s="18" t="n">
        <f aca="false">G10+G19</f>
        <v>-1865.57504</v>
      </c>
      <c r="H20" s="18" t="n">
        <f aca="false">H10+H19</f>
        <v>-255.289215999997</v>
      </c>
      <c r="I20" s="18" t="n">
        <f aca="false">I10+I19</f>
        <v>1741.07245312001</v>
      </c>
      <c r="J20" s="18" t="n">
        <f aca="false">J10+J19</f>
        <v>4143.7524384256</v>
      </c>
      <c r="K20" s="18" t="n">
        <f aca="false">K10+K19</f>
        <v>6823.06509463488</v>
      </c>
      <c r="L20" s="18" t="n">
        <f aca="false">L10+L19</f>
        <v>9582.61586624275</v>
      </c>
    </row>
    <row r="21" customFormat="false" ht="15" hidden="false" customHeight="false" outlineLevel="0" collapsed="false">
      <c r="A21" s="31" t="s">
        <v>93</v>
      </c>
      <c r="B21" s="32" t="n">
        <f aca="false">B20/B6</f>
        <v>-0.600148148148148</v>
      </c>
      <c r="C21" s="32" t="n">
        <f aca="false">C20/C6</f>
        <v>-0.246787157611136</v>
      </c>
      <c r="D21" s="32" t="n">
        <f aca="false">D20/D6</f>
        <v>-0.398043204320432</v>
      </c>
      <c r="E21" s="32" t="n">
        <f aca="false">E20/E6</f>
        <v>-0.237007708628006</v>
      </c>
      <c r="F21" s="32" t="n">
        <f aca="false">F20/F6</f>
        <v>-0.078</v>
      </c>
      <c r="G21" s="32" t="n">
        <f aca="false">G20/G6</f>
        <v>-0.038</v>
      </c>
      <c r="H21" s="32" t="n">
        <f aca="false">H20/H6</f>
        <v>-0.00399999999999996</v>
      </c>
      <c r="I21" s="32" t="n">
        <f aca="false">I20/I6</f>
        <v>0.0220000000000001</v>
      </c>
      <c r="J21" s="32" t="n">
        <f aca="false">J20/J6</f>
        <v>0.044</v>
      </c>
      <c r="K21" s="32" t="n">
        <f aca="false">K20/K6</f>
        <v>0.063</v>
      </c>
      <c r="L21" s="32" t="n">
        <f aca="false">L20/L6</f>
        <v>0.0789999999999999</v>
      </c>
    </row>
    <row r="22" customFormat="false" ht="15" hidden="false" customHeight="false" outlineLevel="0" collapsed="false">
      <c r="A22" s="19" t="s">
        <v>94</v>
      </c>
      <c r="B22" s="7" t="n">
        <f aca="false">-B6*Assumptions!B19</f>
        <v>-56.7</v>
      </c>
      <c r="C22" s="7" t="n">
        <f aca="false">-C6*Assumptions!C19</f>
        <v>-115.804</v>
      </c>
      <c r="D22" s="7" t="n">
        <f aca="false">-D6*Assumptions!D19</f>
        <v>-277.75</v>
      </c>
      <c r="E22" s="7" t="n">
        <f aca="false">-E6*Assumptions!E19</f>
        <v>-542.976</v>
      </c>
      <c r="F22" s="7" t="n">
        <f aca="false">-F6*Assumptions!F19</f>
        <v>-841.6128</v>
      </c>
      <c r="G22" s="7" t="n">
        <f aca="false">-G6*Assumptions!G19</f>
        <v>-1178.25792</v>
      </c>
      <c r="H22" s="7" t="n">
        <f aca="false">-H6*Assumptions!H19</f>
        <v>-1531.735296</v>
      </c>
      <c r="I22" s="7" t="n">
        <f aca="false">-I6*Assumptions!I19</f>
        <v>-1899.35176704</v>
      </c>
      <c r="J22" s="7" t="n">
        <f aca="false">-J6*Assumptions!J19</f>
        <v>-2260.2286027776</v>
      </c>
      <c r="K22" s="7" t="n">
        <f aca="false">-K6*Assumptions!K19</f>
        <v>-2599.26289319424</v>
      </c>
      <c r="L22" s="7" t="n">
        <f aca="false">-L6*Assumptions!L19</f>
        <v>-2911.17444037755</v>
      </c>
    </row>
    <row r="23" customFormat="false" ht="15" hidden="false" customHeight="false" outlineLevel="0" collapsed="false">
      <c r="A23" s="17" t="s">
        <v>95</v>
      </c>
      <c r="B23" s="33" t="n">
        <f aca="false">B20+B22</f>
        <v>-1272</v>
      </c>
      <c r="C23" s="33" t="n">
        <f aca="false">C20+C22</f>
        <v>-1214.994</v>
      </c>
      <c r="D23" s="33" t="n">
        <f aca="false">D20+D22</f>
        <v>-4700.01</v>
      </c>
      <c r="E23" s="33" t="n">
        <f aca="false">E20+E22</f>
        <v>-5905.0384</v>
      </c>
      <c r="F23" s="33" t="n">
        <f aca="false">F20+F22</f>
        <v>-3576.8544</v>
      </c>
      <c r="G23" s="33" t="n">
        <f aca="false">G20+G22</f>
        <v>-3043.83296</v>
      </c>
      <c r="H23" s="33" t="n">
        <f aca="false">H20+H22</f>
        <v>-1787.024512</v>
      </c>
      <c r="I23" s="33" t="n">
        <f aca="false">I20+I22</f>
        <v>-158.279313919993</v>
      </c>
      <c r="J23" s="33" t="n">
        <f aca="false">J20+J22</f>
        <v>1883.523835648</v>
      </c>
      <c r="K23" s="33" t="n">
        <f aca="false">K20+K22</f>
        <v>4223.80220144064</v>
      </c>
      <c r="L23" s="33" t="n">
        <f aca="false">L20+L22</f>
        <v>6671.4414258652</v>
      </c>
    </row>
    <row r="24" customFormat="false" ht="15" hidden="false" customHeight="false" outlineLevel="0" collapsed="false">
      <c r="A24" s="19" t="s">
        <v>96</v>
      </c>
      <c r="B24" s="34" t="n">
        <v>0</v>
      </c>
      <c r="C24" s="34" t="n">
        <v>0</v>
      </c>
      <c r="D24" s="34" t="n">
        <v>0</v>
      </c>
      <c r="E24" s="34" t="n">
        <v>0</v>
      </c>
      <c r="F24" s="7" t="n">
        <f aca="false">0.5%*'Balance Sheet'!E7</f>
        <v>5</v>
      </c>
      <c r="G24" s="7" t="n">
        <f aca="false">0.5%*'Balance Sheet'!F7</f>
        <v>5</v>
      </c>
      <c r="H24" s="7" t="n">
        <f aca="false">0.5%*'Balance Sheet'!G7</f>
        <v>5</v>
      </c>
      <c r="I24" s="7" t="n">
        <f aca="false">0.5%*'Balance Sheet'!H7</f>
        <v>5</v>
      </c>
      <c r="J24" s="7" t="n">
        <f aca="false">0.5%*'Balance Sheet'!I7</f>
        <v>5</v>
      </c>
      <c r="K24" s="7" t="n">
        <f aca="false">0.5%*'Balance Sheet'!J7</f>
        <v>12.6833638710985</v>
      </c>
      <c r="L24" s="7" t="n">
        <f aca="false">0.5%*'Balance Sheet'!K7</f>
        <v>29.6271989765567</v>
      </c>
    </row>
    <row r="25" customFormat="false" ht="15" hidden="false" customHeight="false" outlineLevel="0" collapsed="false">
      <c r="A25" s="17" t="s">
        <v>97</v>
      </c>
      <c r="B25" s="18" t="n">
        <f aca="false">B23+B24</f>
        <v>-1272</v>
      </c>
      <c r="C25" s="18" t="n">
        <f aca="false">C23+C24</f>
        <v>-1214.994</v>
      </c>
      <c r="D25" s="18" t="n">
        <f aca="false">D23+D24</f>
        <v>-4700.01</v>
      </c>
      <c r="E25" s="18" t="n">
        <f aca="false">E23+E24</f>
        <v>-5905.0384</v>
      </c>
      <c r="F25" s="18" t="n">
        <f aca="false">F23+F24</f>
        <v>-3571.8544</v>
      </c>
      <c r="G25" s="18" t="n">
        <f aca="false">G23+G24</f>
        <v>-3038.83296</v>
      </c>
      <c r="H25" s="18" t="n">
        <f aca="false">H23+H24</f>
        <v>-1782.024512</v>
      </c>
      <c r="I25" s="18" t="n">
        <f aca="false">I23+I24</f>
        <v>-153.279313919993</v>
      </c>
      <c r="J25" s="18" t="n">
        <f aca="false">J23+J24</f>
        <v>1888.523835648</v>
      </c>
      <c r="K25" s="18" t="n">
        <f aca="false">K23+K24</f>
        <v>4236.48556531174</v>
      </c>
      <c r="L25" s="18" t="n">
        <f aca="false">L23+L24</f>
        <v>6701.06862484176</v>
      </c>
    </row>
    <row r="26" customFormat="false" ht="15" hidden="false" customHeight="false" outlineLevel="0" collapsed="false">
      <c r="A26" s="19" t="s">
        <v>98</v>
      </c>
      <c r="B26" s="7" t="n">
        <f aca="false">-MAX(B25,0)*Assumptions!B21</f>
        <v>-0</v>
      </c>
      <c r="C26" s="7" t="n">
        <f aca="false">-MAX(C25,0)*Assumptions!C21</f>
        <v>-0</v>
      </c>
      <c r="D26" s="7" t="n">
        <f aca="false">-MAX(D25,0)*Assumptions!D21</f>
        <v>-0</v>
      </c>
      <c r="E26" s="7" t="n">
        <f aca="false">-MAX(E25,0)*Assumptions!E21</f>
        <v>-0</v>
      </c>
      <c r="F26" s="7" t="n">
        <f aca="false">-MAX(F25,0)*Assumptions!F21</f>
        <v>-0</v>
      </c>
      <c r="G26" s="7" t="n">
        <f aca="false">-MAX(G25,0)*Assumptions!G21</f>
        <v>-0</v>
      </c>
      <c r="H26" s="7" t="n">
        <f aca="false">-MAX(H25,0)*Assumptions!H21</f>
        <v>-0</v>
      </c>
      <c r="I26" s="7" t="n">
        <f aca="false">-MAX(I25,0)*Assumptions!I21</f>
        <v>-0</v>
      </c>
      <c r="J26" s="7" t="n">
        <f aca="false">-MAX(J25,0)*Assumptions!J21</f>
        <v>-475.341449432602</v>
      </c>
      <c r="K26" s="7" t="n">
        <f aca="false">-MAX(K25,0)*Assumptions!K21</f>
        <v>-1066.32341678896</v>
      </c>
      <c r="L26" s="7" t="n">
        <f aca="false">-MAX(L25,0)*Assumptions!L21</f>
        <v>-1686.65897287267</v>
      </c>
    </row>
    <row r="27" customFormat="false" ht="15" hidden="false" customHeight="false" outlineLevel="0" collapsed="false">
      <c r="A27" s="17" t="s">
        <v>99</v>
      </c>
      <c r="B27" s="35" t="n">
        <f aca="false">B25+B26</f>
        <v>-1272</v>
      </c>
      <c r="C27" s="35" t="n">
        <f aca="false">C25+C26</f>
        <v>-1214.994</v>
      </c>
      <c r="D27" s="35" t="n">
        <f aca="false">D25+D26</f>
        <v>-4700.01</v>
      </c>
      <c r="E27" s="35" t="n">
        <f aca="false">E25+E26</f>
        <v>-5905.0384</v>
      </c>
      <c r="F27" s="35" t="n">
        <f aca="false">F25+F26</f>
        <v>-3571.8544</v>
      </c>
      <c r="G27" s="35" t="n">
        <f aca="false">G25+G26</f>
        <v>-3038.83296</v>
      </c>
      <c r="H27" s="35" t="n">
        <f aca="false">H25+H26</f>
        <v>-1782.024512</v>
      </c>
      <c r="I27" s="35" t="n">
        <f aca="false">I25+I26</f>
        <v>-153.279313919993</v>
      </c>
      <c r="J27" s="35" t="n">
        <f aca="false">J25+J26</f>
        <v>1413.1823862154</v>
      </c>
      <c r="K27" s="35" t="n">
        <f aca="false">K25+K26</f>
        <v>3170.16214852277</v>
      </c>
      <c r="L27" s="35" t="n">
        <f aca="false">L25+L26</f>
        <v>5014.40965196909</v>
      </c>
    </row>
    <row r="28" customFormat="false" ht="15" hidden="false" customHeight="false" outlineLevel="0" collapsed="false">
      <c r="A28" s="31" t="s">
        <v>100</v>
      </c>
      <c r="B28" s="32" t="n">
        <f aca="false">B27/B6</f>
        <v>-0.628148148148148</v>
      </c>
      <c r="C28" s="32" t="n">
        <f aca="false">C27/C6</f>
        <v>-0.272787157611136</v>
      </c>
      <c r="D28" s="32" t="n">
        <f aca="false">D27/D6</f>
        <v>-0.423043204320432</v>
      </c>
      <c r="E28" s="32" t="n">
        <f aca="false">E27/E6</f>
        <v>-0.261007708628006</v>
      </c>
      <c r="F28" s="32" t="n">
        <f aca="false">F27/F6</f>
        <v>-0.101857416617238</v>
      </c>
      <c r="G28" s="32" t="n">
        <f aca="false">G27/G6</f>
        <v>-0.0618981547265984</v>
      </c>
      <c r="H28" s="32" t="n">
        <f aca="false">H27/H6</f>
        <v>-0.0279216574819987</v>
      </c>
      <c r="I28" s="32" t="n">
        <f aca="false">I27/I6</f>
        <v>-0.00193682054999892</v>
      </c>
      <c r="J28" s="32" t="n">
        <f aca="false">J27/J6</f>
        <v>0.0150057287247359</v>
      </c>
      <c r="K28" s="32" t="n">
        <f aca="false">K27/K6</f>
        <v>0.0292713337168627</v>
      </c>
      <c r="L28" s="32" t="n">
        <f aca="false">L27/L6</f>
        <v>0.0413392718684527</v>
      </c>
    </row>
  </sheetData>
  <mergeCells count="3">
    <mergeCell ref="A1:L1"/>
    <mergeCell ref="A2:L2"/>
    <mergeCell ref="A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2"/>
  </cols>
  <sheetData>
    <row r="1" customFormat="false" ht="25.5" hidden="false" customHeight="true" outlineLevel="0" collapsed="false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.75" hidden="false" customHeight="true" outlineLevel="0" collapsed="false">
      <c r="A2" s="2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8" hidden="false" customHeight="true" outlineLevel="0" collapsed="false">
      <c r="A4" s="14" t="s">
        <v>36</v>
      </c>
      <c r="B4" s="15" t="s">
        <v>37</v>
      </c>
      <c r="C4" s="15" t="s">
        <v>38</v>
      </c>
      <c r="D4" s="15" t="s">
        <v>14</v>
      </c>
      <c r="E4" s="15" t="s">
        <v>15</v>
      </c>
      <c r="F4" s="15" t="s">
        <v>39</v>
      </c>
      <c r="G4" s="15" t="s">
        <v>40</v>
      </c>
      <c r="H4" s="15" t="s">
        <v>41</v>
      </c>
      <c r="I4" s="15" t="s">
        <v>42</v>
      </c>
      <c r="J4" s="15" t="s">
        <v>43</v>
      </c>
      <c r="K4" s="15" t="s">
        <v>44</v>
      </c>
      <c r="L4" s="15" t="s">
        <v>45</v>
      </c>
    </row>
    <row r="6" customFormat="false" ht="15.75" hidden="false" customHeight="true" outlineLevel="0" collapsed="false">
      <c r="A6" s="16" t="s">
        <v>103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false" outlineLevel="0" collapsed="false">
      <c r="A7" s="19" t="s">
        <v>104</v>
      </c>
      <c r="B7" s="7" t="n">
        <f aca="false">'Cash Flow'!B28</f>
        <v>1000</v>
      </c>
      <c r="C7" s="7" t="n">
        <f aca="false">'Cash Flow'!C28</f>
        <v>1000</v>
      </c>
      <c r="D7" s="7" t="n">
        <f aca="false">'Cash Flow'!D28</f>
        <v>1000</v>
      </c>
      <c r="E7" s="7" t="n">
        <f aca="false">'Cash Flow'!E28</f>
        <v>1000</v>
      </c>
      <c r="F7" s="7" t="n">
        <f aca="false">'Cash Flow'!F28</f>
        <v>1000</v>
      </c>
      <c r="G7" s="7" t="n">
        <f aca="false">'Cash Flow'!G28</f>
        <v>1000</v>
      </c>
      <c r="H7" s="7" t="n">
        <f aca="false">'Cash Flow'!H28</f>
        <v>1000</v>
      </c>
      <c r="I7" s="7" t="n">
        <f aca="false">'Cash Flow'!I28</f>
        <v>1000</v>
      </c>
      <c r="J7" s="7" t="n">
        <f aca="false">'Cash Flow'!J28</f>
        <v>2536.6727742197</v>
      </c>
      <c r="K7" s="7" t="n">
        <f aca="false">'Cash Flow'!K28</f>
        <v>5925.43979531134</v>
      </c>
      <c r="L7" s="7" t="n">
        <f aca="false">'Cash Flow'!L28</f>
        <v>11182.0912539019</v>
      </c>
    </row>
    <row r="8" customFormat="false" ht="15" hidden="false" customHeight="false" outlineLevel="0" collapsed="false">
      <c r="A8" s="19" t="s">
        <v>105</v>
      </c>
      <c r="B8" s="7" t="n">
        <f aca="false">'Income Statement'!B6/365*Assumptions!B22</f>
        <v>66.5753424657534</v>
      </c>
      <c r="C8" s="7" t="n">
        <f aca="false">'Income Statement'!C6/365*Assumptions!C22</f>
        <v>158.635616438356</v>
      </c>
      <c r="D8" s="7" t="n">
        <f aca="false">'Income Statement'!D6/365*Assumptions!D22</f>
        <v>426.13698630137</v>
      </c>
      <c r="E8" s="7" t="n">
        <f aca="false">'Income Statement'!E6/365*Assumptions!E22</f>
        <v>929.753424657534</v>
      </c>
      <c r="F8" s="7" t="n">
        <f aca="false">'Income Statement'!F6/365*Assumptions!F22</f>
        <v>1441.11780821918</v>
      </c>
      <c r="G8" s="7" t="n">
        <f aca="false">'Income Statement'!G6/365*Assumptions!G22</f>
        <v>2017.56493150685</v>
      </c>
      <c r="H8" s="7" t="n">
        <f aca="false">'Income Statement'!H6/365*Assumptions!H22</f>
        <v>2622.8344109589</v>
      </c>
      <c r="I8" s="7" t="n">
        <f aca="false">'Income Statement'!I6/365*Assumptions!I22</f>
        <v>3252.31466958904</v>
      </c>
      <c r="J8" s="7" t="n">
        <f aca="false">'Income Statement'!J6/365*Assumptions!J22</f>
        <v>3870.25445681096</v>
      </c>
      <c r="K8" s="7" t="n">
        <f aca="false">'Income Statement'!K6/365*Assumptions!K22</f>
        <v>4450.7926253326</v>
      </c>
      <c r="L8" s="7" t="n">
        <f aca="false">'Income Statement'!L6/365*Assumptions!L22</f>
        <v>4984.88774037252</v>
      </c>
    </row>
    <row r="9" customFormat="false" ht="15" hidden="false" customHeight="false" outlineLevel="0" collapsed="false">
      <c r="A9" s="19" t="s">
        <v>106</v>
      </c>
      <c r="B9" s="7" t="n">
        <f aca="false">-'Income Statement'!B9/365*Assumptions!B24</f>
        <v>36.3945205479452</v>
      </c>
      <c r="C9" s="7" t="n">
        <f aca="false">-'Income Statement'!C9/365*Assumptions!C24</f>
        <v>86.7614794520548</v>
      </c>
      <c r="D9" s="7" t="n">
        <f aca="false">-'Income Statement'!D9/365*Assumptions!D24</f>
        <v>229.809589041096</v>
      </c>
      <c r="E9" s="7" t="n">
        <f aca="false">-'Income Statement'!E9/365*Assumptions!E24</f>
        <v>458.678356164384</v>
      </c>
      <c r="F9" s="7" t="n">
        <f aca="false">-'Income Statement'!F9/365*Assumptions!F24</f>
        <v>696.540273972603</v>
      </c>
      <c r="G9" s="7" t="n">
        <f aca="false">-'Income Statement'!G9/365*Assumptions!G24</f>
        <v>961.705950684932</v>
      </c>
      <c r="H9" s="7" t="n">
        <f aca="false">-'Income Statement'!H9/365*Assumptions!H24</f>
        <v>1232.73217315069</v>
      </c>
      <c r="I9" s="7" t="n">
        <f aca="false">-'Income Statement'!I9/365*Assumptions!I24</f>
        <v>1517.74684580822</v>
      </c>
      <c r="J9" s="7" t="n">
        <f aca="false">-'Income Statement'!J9/365*Assumptions!J24</f>
        <v>1793.21789832241</v>
      </c>
      <c r="K9" s="7" t="n">
        <f aca="false">-'Income Statement'!K9/365*Assumptions!K24</f>
        <v>2047.364607653</v>
      </c>
      <c r="L9" s="7" t="n">
        <f aca="false">-'Income Statement'!L9/365*Assumptions!L24</f>
        <v>2276.43206810345</v>
      </c>
    </row>
    <row r="10" customFormat="false" ht="15" hidden="false" customHeight="false" outlineLevel="0" collapsed="false">
      <c r="A10" s="19" t="s">
        <v>107</v>
      </c>
      <c r="B10" s="7" t="n">
        <f aca="false">0.03*'Income Statement'!B6</f>
        <v>60.75</v>
      </c>
      <c r="C10" s="7" t="n">
        <f aca="false">0.03*'Income Statement'!C6</f>
        <v>133.62</v>
      </c>
      <c r="D10" s="7" t="n">
        <f aca="false">0.03*'Income Statement'!D6</f>
        <v>333.3</v>
      </c>
      <c r="E10" s="7" t="n">
        <f aca="false">0.03*'Income Statement'!E6</f>
        <v>678.72</v>
      </c>
      <c r="F10" s="7" t="n">
        <f aca="false">0.03*'Income Statement'!F6</f>
        <v>1052.016</v>
      </c>
      <c r="G10" s="7" t="n">
        <f aca="false">0.03*'Income Statement'!G6</f>
        <v>1472.8224</v>
      </c>
      <c r="H10" s="7" t="n">
        <f aca="false">0.03*'Income Statement'!H6</f>
        <v>1914.66912</v>
      </c>
      <c r="I10" s="7" t="n">
        <f aca="false">0.03*'Income Statement'!I6</f>
        <v>2374.1897088</v>
      </c>
      <c r="J10" s="7" t="n">
        <f aca="false">0.03*'Income Statement'!J6</f>
        <v>2825.285753472</v>
      </c>
      <c r="K10" s="7" t="n">
        <f aca="false">0.03*'Income Statement'!K6</f>
        <v>3249.0786164928</v>
      </c>
      <c r="L10" s="7" t="n">
        <f aca="false">0.03*'Income Statement'!L6</f>
        <v>3638.96805047194</v>
      </c>
    </row>
    <row r="11" customFormat="false" ht="15" hidden="false" customHeight="false" outlineLevel="0" collapsed="false">
      <c r="A11" s="17" t="s">
        <v>108</v>
      </c>
      <c r="B11" s="33" t="n">
        <f aca="false">SUM(B7:B10)</f>
        <v>1163.7198630137</v>
      </c>
      <c r="C11" s="33" t="n">
        <f aca="false">SUM(C7:C10)</f>
        <v>1379.01709589041</v>
      </c>
      <c r="D11" s="33" t="n">
        <f aca="false">SUM(D7:D10)</f>
        <v>1989.24657534247</v>
      </c>
      <c r="E11" s="33" t="n">
        <f aca="false">SUM(E7:E10)</f>
        <v>3067.15178082192</v>
      </c>
      <c r="F11" s="33" t="n">
        <f aca="false">SUM(F7:F10)</f>
        <v>4189.67408219178</v>
      </c>
      <c r="G11" s="33" t="n">
        <f aca="false">SUM(G7:G10)</f>
        <v>5452.09328219178</v>
      </c>
      <c r="H11" s="33" t="n">
        <f aca="false">SUM(H7:H10)</f>
        <v>6770.23570410959</v>
      </c>
      <c r="I11" s="33" t="n">
        <f aca="false">SUM(I7:I10)</f>
        <v>8144.25122419726</v>
      </c>
      <c r="J11" s="33" t="n">
        <f aca="false">SUM(J7:J10)</f>
        <v>11025.4308828251</v>
      </c>
      <c r="K11" s="33" t="n">
        <f aca="false">SUM(K7:K10)</f>
        <v>15672.6756447897</v>
      </c>
      <c r="L11" s="33" t="n">
        <f aca="false">SUM(L7:L10)</f>
        <v>22082.3791128498</v>
      </c>
    </row>
    <row r="13" customFormat="false" ht="15" hidden="false" customHeight="false" outlineLevel="0" collapsed="false">
      <c r="A13" s="19" t="s">
        <v>109</v>
      </c>
      <c r="B13" s="7" t="n">
        <f aca="false">'Income Statement'!B6*Assumptions!B20+'Income Statement'!B22</f>
        <v>64.8</v>
      </c>
      <c r="C13" s="7" t="n">
        <f aca="false">B13+'Income Statement'!C6*Assumptions!C20+'Income Statement'!C22</f>
        <v>171.696</v>
      </c>
      <c r="D13" s="7" t="n">
        <f aca="false">C13+'Income Statement'!D6*Assumptions!D20+'Income Statement'!D22</f>
        <v>393.896</v>
      </c>
      <c r="E13" s="7" t="n">
        <f aca="false">D13+'Income Statement'!E6*Assumptions!E20+'Income Statement'!E22</f>
        <v>801.128</v>
      </c>
      <c r="F13" s="7" t="n">
        <f aca="false">E13+'Income Statement'!F6*Assumptions!F20+'Income Statement'!F22</f>
        <v>1362.2032</v>
      </c>
      <c r="G13" s="7" t="n">
        <f aca="false">F13+'Income Statement'!G6*Assumptions!G20+'Income Statement'!G22</f>
        <v>2000.42624</v>
      </c>
      <c r="H13" s="7" t="n">
        <f aca="false">G13+'Income Statement'!H6*Assumptions!H20+'Income Statement'!H22</f>
        <v>2638.64928</v>
      </c>
      <c r="I13" s="7" t="n">
        <f aca="false">H13+'Income Statement'!I6*Assumptions!I20+'Income Statement'!I22</f>
        <v>3192.62687872</v>
      </c>
      <c r="J13" s="7" t="n">
        <f aca="false">I13+'Income Statement'!J6*Assumptions!J20+'Income Statement'!J22</f>
        <v>3663.507837632</v>
      </c>
      <c r="K13" s="7" t="n">
        <f aca="false">J13+'Income Statement'!K6*Assumptions!K20+'Income Statement'!K22</f>
        <v>3988.41569928128</v>
      </c>
      <c r="L13" s="7" t="n">
        <f aca="false">K13+'Income Statement'!L6*Assumptions!L20+'Income Statement'!L22</f>
        <v>4231.01356931274</v>
      </c>
    </row>
    <row r="14" customFormat="false" ht="15" hidden="false" customHeight="false" outlineLevel="0" collapsed="false">
      <c r="A14" s="19" t="s">
        <v>110</v>
      </c>
      <c r="B14" s="7" t="n">
        <f aca="false">0.018*'Income Statement'!B6</f>
        <v>36.45</v>
      </c>
      <c r="C14" s="7" t="n">
        <f aca="false">0.018*'Income Statement'!C6</f>
        <v>80.172</v>
      </c>
      <c r="D14" s="7" t="n">
        <f aca="false">0.018*'Income Statement'!D6</f>
        <v>199.98</v>
      </c>
      <c r="E14" s="7" t="n">
        <f aca="false">0.018*'Income Statement'!E6</f>
        <v>407.232</v>
      </c>
      <c r="F14" s="7" t="n">
        <f aca="false">0.018*'Income Statement'!F6</f>
        <v>631.2096</v>
      </c>
      <c r="G14" s="7" t="n">
        <f aca="false">0.018*'Income Statement'!G6</f>
        <v>883.69344</v>
      </c>
      <c r="H14" s="7" t="n">
        <f aca="false">0.018*'Income Statement'!H6</f>
        <v>1148.801472</v>
      </c>
      <c r="I14" s="7" t="n">
        <f aca="false">0.018*'Income Statement'!I6</f>
        <v>1424.51382528</v>
      </c>
      <c r="J14" s="7" t="n">
        <f aca="false">0.018*'Income Statement'!J6</f>
        <v>1695.1714520832</v>
      </c>
      <c r="K14" s="7" t="n">
        <f aca="false">0.018*'Income Statement'!K6</f>
        <v>1949.44716989568</v>
      </c>
      <c r="L14" s="7" t="n">
        <f aca="false">0.018*'Income Statement'!L6</f>
        <v>2183.38083028316</v>
      </c>
    </row>
    <row r="15" customFormat="false" ht="15" hidden="false" customHeight="false" outlineLevel="0" collapsed="false">
      <c r="A15" s="17" t="s">
        <v>111</v>
      </c>
      <c r="B15" s="33" t="n">
        <f aca="false">SUM(B13:B14)</f>
        <v>101.25</v>
      </c>
      <c r="C15" s="33" t="n">
        <f aca="false">SUM(C13:C14)</f>
        <v>251.868</v>
      </c>
      <c r="D15" s="33" t="n">
        <f aca="false">SUM(D13:D14)</f>
        <v>593.876</v>
      </c>
      <c r="E15" s="33" t="n">
        <f aca="false">SUM(E13:E14)</f>
        <v>1208.36</v>
      </c>
      <c r="F15" s="33" t="n">
        <f aca="false">SUM(F13:F14)</f>
        <v>1993.4128</v>
      </c>
      <c r="G15" s="33" t="n">
        <f aca="false">SUM(G13:G14)</f>
        <v>2884.11968</v>
      </c>
      <c r="H15" s="33" t="n">
        <f aca="false">SUM(H13:H14)</f>
        <v>3787.450752</v>
      </c>
      <c r="I15" s="33" t="n">
        <f aca="false">SUM(I13:I14)</f>
        <v>4617.140704</v>
      </c>
      <c r="J15" s="33" t="n">
        <f aca="false">SUM(J13:J14)</f>
        <v>5358.6792897152</v>
      </c>
      <c r="K15" s="33" t="n">
        <f aca="false">SUM(K13:K14)</f>
        <v>5937.86286917696</v>
      </c>
      <c r="L15" s="33" t="n">
        <f aca="false">SUM(L13:L14)</f>
        <v>6414.3943995959</v>
      </c>
    </row>
    <row r="16" customFormat="false" ht="15" hidden="false" customHeight="false" outlineLevel="0" collapsed="false">
      <c r="A16" s="17" t="s">
        <v>112</v>
      </c>
      <c r="B16" s="35" t="n">
        <f aca="false">B11+B15</f>
        <v>1264.9698630137</v>
      </c>
      <c r="C16" s="35" t="n">
        <f aca="false">C11+C15</f>
        <v>1630.88509589041</v>
      </c>
      <c r="D16" s="35" t="n">
        <f aca="false">D11+D15</f>
        <v>2583.12257534247</v>
      </c>
      <c r="E16" s="35" t="n">
        <f aca="false">E11+E15</f>
        <v>4275.51178082192</v>
      </c>
      <c r="F16" s="35" t="n">
        <f aca="false">F11+F15</f>
        <v>6183.08688219178</v>
      </c>
      <c r="G16" s="35" t="n">
        <f aca="false">G11+G15</f>
        <v>8336.21296219178</v>
      </c>
      <c r="H16" s="35" t="n">
        <f aca="false">H11+H15</f>
        <v>10557.6864561096</v>
      </c>
      <c r="I16" s="35" t="n">
        <f aca="false">I11+I15</f>
        <v>12761.3919281973</v>
      </c>
      <c r="J16" s="35" t="n">
        <f aca="false">J11+J15</f>
        <v>16384.1101725403</v>
      </c>
      <c r="K16" s="35" t="n">
        <f aca="false">K11+K15</f>
        <v>21610.5385139667</v>
      </c>
      <c r="L16" s="35" t="n">
        <f aca="false">L11+L15</f>
        <v>28496.7735124457</v>
      </c>
    </row>
    <row r="18" customFormat="false" ht="15.75" hidden="false" customHeight="true" outlineLevel="0" collapsed="false">
      <c r="A18" s="16" t="s">
        <v>113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customFormat="false" ht="15" hidden="false" customHeight="false" outlineLevel="0" collapsed="false">
      <c r="A19" s="19" t="s">
        <v>114</v>
      </c>
      <c r="B19" s="7" t="n">
        <f aca="false">-'Income Statement'!B9/365*Assumptions!B23</f>
        <v>159.22602739726</v>
      </c>
      <c r="C19" s="7" t="n">
        <f aca="false">-'Income Statement'!C9/365*Assumptions!C23</f>
        <v>366.326246575343</v>
      </c>
      <c r="D19" s="7" t="n">
        <f aca="false">-'Income Statement'!D9/365*Assumptions!D23</f>
        <v>919.238356164384</v>
      </c>
      <c r="E19" s="7" t="n">
        <f aca="false">-'Income Statement'!E9/365*Assumptions!E23</f>
        <v>1926.44909589041</v>
      </c>
      <c r="F19" s="7" t="n">
        <f aca="false">-'Income Statement'!F9/365*Assumptions!F23</f>
        <v>2925.46915068493</v>
      </c>
      <c r="G19" s="7" t="n">
        <f aca="false">-'Income Statement'!G9/365*Assumptions!G23</f>
        <v>4039.16499287671</v>
      </c>
      <c r="H19" s="7" t="n">
        <f aca="false">-'Income Statement'!H9/365*Assumptions!H23</f>
        <v>5177.47512723288</v>
      </c>
      <c r="I19" s="7" t="n">
        <f aca="false">-'Income Statement'!I9/365*Assumptions!I23</f>
        <v>6374.53675239452</v>
      </c>
      <c r="J19" s="7" t="n">
        <f aca="false">-'Income Statement'!J9/365*Assumptions!J23</f>
        <v>7531.51517295413</v>
      </c>
      <c r="K19" s="7" t="n">
        <f aca="false">-'Income Statement'!K9/365*Assumptions!K23</f>
        <v>8598.93135214259</v>
      </c>
      <c r="L19" s="7" t="n">
        <f aca="false">-'Income Statement'!L9/365*Assumptions!L23</f>
        <v>9561.01468603449</v>
      </c>
    </row>
    <row r="20" customFormat="false" ht="15" hidden="false" customHeight="false" outlineLevel="0" collapsed="false">
      <c r="A20" s="19" t="s">
        <v>115</v>
      </c>
      <c r="B20" s="7" t="n">
        <f aca="false">0.07*'Income Statement'!B6</f>
        <v>141.75</v>
      </c>
      <c r="C20" s="7" t="n">
        <f aca="false">0.07*'Income Statement'!C6</f>
        <v>311.78</v>
      </c>
      <c r="D20" s="7" t="n">
        <f aca="false">0.07*'Income Statement'!D6</f>
        <v>777.7</v>
      </c>
      <c r="E20" s="7" t="n">
        <f aca="false">0.07*'Income Statement'!E6</f>
        <v>1583.68</v>
      </c>
      <c r="F20" s="7" t="n">
        <f aca="false">0.07*'Income Statement'!F6</f>
        <v>2454.704</v>
      </c>
      <c r="G20" s="7" t="n">
        <f aca="false">0.07*'Income Statement'!G6</f>
        <v>3436.5856</v>
      </c>
      <c r="H20" s="7" t="n">
        <f aca="false">0.07*'Income Statement'!H6</f>
        <v>4467.56128</v>
      </c>
      <c r="I20" s="7" t="n">
        <f aca="false">0.07*'Income Statement'!I6</f>
        <v>5539.7759872</v>
      </c>
      <c r="J20" s="7" t="n">
        <f aca="false">0.07*'Income Statement'!J6</f>
        <v>6592.333424768</v>
      </c>
      <c r="K20" s="7" t="n">
        <f aca="false">0.07*'Income Statement'!K6</f>
        <v>7581.1834384832</v>
      </c>
      <c r="L20" s="7" t="n">
        <f aca="false">0.07*'Income Statement'!L6</f>
        <v>8490.92545110119</v>
      </c>
    </row>
    <row r="21" customFormat="false" ht="15" hidden="false" customHeight="false" outlineLevel="0" collapsed="false">
      <c r="A21" s="17" t="s">
        <v>116</v>
      </c>
      <c r="B21" s="33" t="n">
        <f aca="false">SUM(B19:B20)</f>
        <v>300.97602739726</v>
      </c>
      <c r="C21" s="33" t="n">
        <f aca="false">SUM(C19:C20)</f>
        <v>678.106246575343</v>
      </c>
      <c r="D21" s="33" t="n">
        <f aca="false">SUM(D19:D20)</f>
        <v>1696.93835616438</v>
      </c>
      <c r="E21" s="33" t="n">
        <f aca="false">SUM(E19:E20)</f>
        <v>3510.12909589041</v>
      </c>
      <c r="F21" s="33" t="n">
        <f aca="false">SUM(F19:F20)</f>
        <v>5380.17315068493</v>
      </c>
      <c r="G21" s="33" t="n">
        <f aca="false">SUM(G19:G20)</f>
        <v>7475.75059287671</v>
      </c>
      <c r="H21" s="33" t="n">
        <f aca="false">SUM(H19:H20)</f>
        <v>9645.03640723288</v>
      </c>
      <c r="I21" s="33" t="n">
        <f aca="false">SUM(I19:I20)</f>
        <v>11914.3127395945</v>
      </c>
      <c r="J21" s="33" t="n">
        <f aca="false">SUM(J19:J20)</f>
        <v>14123.8485977221</v>
      </c>
      <c r="K21" s="33" t="n">
        <f aca="false">SUM(K19:K20)</f>
        <v>16180.1147906258</v>
      </c>
      <c r="L21" s="33" t="n">
        <f aca="false">SUM(L19:L20)</f>
        <v>18051.9401371357</v>
      </c>
    </row>
    <row r="22" customFormat="false" ht="15" hidden="false" customHeight="false" outlineLevel="0" collapsed="false">
      <c r="A22" s="19" t="s">
        <v>117</v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34" t="n">
        <v>0</v>
      </c>
      <c r="I22" s="34" t="n">
        <v>0</v>
      </c>
      <c r="J22" s="34" t="n">
        <v>0</v>
      </c>
      <c r="K22" s="34" t="n">
        <v>0</v>
      </c>
      <c r="L22" s="34" t="n">
        <v>0</v>
      </c>
    </row>
    <row r="23" customFormat="false" ht="15" hidden="false" customHeight="false" outlineLevel="0" collapsed="false">
      <c r="A23" s="17" t="s">
        <v>118</v>
      </c>
      <c r="B23" s="33" t="n">
        <f aca="false">B21+B22</f>
        <v>300.97602739726</v>
      </c>
      <c r="C23" s="33" t="n">
        <f aca="false">C21+C22</f>
        <v>678.106246575343</v>
      </c>
      <c r="D23" s="33" t="n">
        <f aca="false">D21+D22</f>
        <v>1696.93835616438</v>
      </c>
      <c r="E23" s="33" t="n">
        <f aca="false">E21+E22</f>
        <v>3510.12909589041</v>
      </c>
      <c r="F23" s="33" t="n">
        <f aca="false">F21+F22</f>
        <v>5380.17315068493</v>
      </c>
      <c r="G23" s="33" t="n">
        <f aca="false">G21+G22</f>
        <v>7475.75059287671</v>
      </c>
      <c r="H23" s="33" t="n">
        <f aca="false">H21+H22</f>
        <v>9645.03640723288</v>
      </c>
      <c r="I23" s="33" t="n">
        <f aca="false">I21+I22</f>
        <v>11914.3127395945</v>
      </c>
      <c r="J23" s="33" t="n">
        <f aca="false">J21+J22</f>
        <v>14123.8485977221</v>
      </c>
      <c r="K23" s="33" t="n">
        <f aca="false">K21+K22</f>
        <v>16180.1147906258</v>
      </c>
      <c r="L23" s="33" t="n">
        <f aca="false">L21+L22</f>
        <v>18051.9401371357</v>
      </c>
    </row>
    <row r="25" customFormat="false" ht="15.75" hidden="false" customHeight="true" outlineLevel="0" collapsed="false">
      <c r="A25" s="16" t="s">
        <v>119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customFormat="false" ht="15" hidden="false" customHeight="false" outlineLevel="0" collapsed="false">
      <c r="A26" s="19" t="s">
        <v>120</v>
      </c>
      <c r="B26" s="7" t="n">
        <f aca="false">'Cash Flow'!B22+'Cash Flow'!B23</f>
        <v>2235.99383561644</v>
      </c>
      <c r="C26" s="7" t="n">
        <f aca="false">B26+'Cash Flow'!C23</f>
        <v>3439.77284931507</v>
      </c>
      <c r="D26" s="7" t="n">
        <f aca="false">C26+'Cash Flow'!D23</f>
        <v>8073.18821917808</v>
      </c>
      <c r="E26" s="7" t="n">
        <f aca="false">D26+'Cash Flow'!E23</f>
        <v>13857.4250849315</v>
      </c>
      <c r="F26" s="7" t="n">
        <f aca="false">E26+'Cash Flow'!F23</f>
        <v>17466.8105315068</v>
      </c>
      <c r="G26" s="7" t="n">
        <f aca="false">F26+'Cash Flow'!G23</f>
        <v>20563.1921293151</v>
      </c>
      <c r="H26" s="7" t="n">
        <f aca="false">G26+'Cash Flow'!H23</f>
        <v>22397.4043208767</v>
      </c>
      <c r="I26" s="7" t="n">
        <f aca="false">H26+'Cash Flow'!I23</f>
        <v>22485.1127745227</v>
      </c>
      <c r="J26" s="7" t="n">
        <f aca="false">I26+'Cash Flow'!J23</f>
        <v>22485.1127745227</v>
      </c>
      <c r="K26" s="7" t="n">
        <f aca="false">J26+'Cash Flow'!K23</f>
        <v>22485.1127745227</v>
      </c>
      <c r="L26" s="7" t="n">
        <f aca="false">K26+'Cash Flow'!L23</f>
        <v>22485.1127745227</v>
      </c>
    </row>
    <row r="27" customFormat="false" ht="15" hidden="false" customHeight="false" outlineLevel="0" collapsed="false">
      <c r="A27" s="19" t="s">
        <v>121</v>
      </c>
      <c r="B27" s="7" t="n">
        <f aca="false">'Income Statement'!B27</f>
        <v>-1272</v>
      </c>
      <c r="C27" s="7" t="n">
        <f aca="false">B27+'Income Statement'!C27</f>
        <v>-2486.994</v>
      </c>
      <c r="D27" s="7" t="n">
        <f aca="false">C27+'Income Statement'!D27</f>
        <v>-7187.004</v>
      </c>
      <c r="E27" s="7" t="n">
        <f aca="false">D27+'Income Statement'!E27</f>
        <v>-13092.0424</v>
      </c>
      <c r="F27" s="7" t="n">
        <f aca="false">E27+'Income Statement'!F27</f>
        <v>-16663.8968</v>
      </c>
      <c r="G27" s="7" t="n">
        <f aca="false">F27+'Income Statement'!G27</f>
        <v>-19702.72976</v>
      </c>
      <c r="H27" s="7" t="n">
        <f aca="false">G27+'Income Statement'!H27</f>
        <v>-21484.754272</v>
      </c>
      <c r="I27" s="7" t="n">
        <f aca="false">H27+'Income Statement'!I27</f>
        <v>-21638.03358592</v>
      </c>
      <c r="J27" s="7" t="n">
        <f aca="false">I27+'Income Statement'!J27</f>
        <v>-20224.8511997046</v>
      </c>
      <c r="K27" s="7" t="n">
        <f aca="false">J27+'Income Statement'!K27</f>
        <v>-17054.6890511818</v>
      </c>
      <c r="L27" s="7" t="n">
        <f aca="false">K27+'Income Statement'!L27</f>
        <v>-12040.2793992127</v>
      </c>
    </row>
    <row r="28" customFormat="false" ht="15" hidden="false" customHeight="false" outlineLevel="0" collapsed="false">
      <c r="A28" s="17" t="s">
        <v>122</v>
      </c>
      <c r="B28" s="33" t="n">
        <f aca="false">B26+B27</f>
        <v>963.993835616438</v>
      </c>
      <c r="C28" s="33" t="n">
        <f aca="false">C26+C27</f>
        <v>952.778849315068</v>
      </c>
      <c r="D28" s="33" t="n">
        <f aca="false">D26+D27</f>
        <v>886.184219178082</v>
      </c>
      <c r="E28" s="33" t="n">
        <f aca="false">E26+E27</f>
        <v>765.382684931505</v>
      </c>
      <c r="F28" s="33" t="n">
        <f aca="false">F26+F27</f>
        <v>802.913731506847</v>
      </c>
      <c r="G28" s="33" t="n">
        <f aca="false">G26+G27</f>
        <v>860.462369315068</v>
      </c>
      <c r="H28" s="33" t="n">
        <f aca="false">H26+H27</f>
        <v>912.650048876712</v>
      </c>
      <c r="I28" s="33" t="n">
        <f aca="false">I26+I27</f>
        <v>847.07918860274</v>
      </c>
      <c r="J28" s="33" t="n">
        <f aca="false">J26+J27</f>
        <v>2260.26157481814</v>
      </c>
      <c r="K28" s="33" t="n">
        <f aca="false">K26+K27</f>
        <v>5430.42372334092</v>
      </c>
      <c r="L28" s="33" t="n">
        <f aca="false">L26+L27</f>
        <v>10444.83337531</v>
      </c>
    </row>
    <row r="29" customFormat="false" ht="15" hidden="false" customHeight="false" outlineLevel="0" collapsed="false">
      <c r="A29" s="17" t="s">
        <v>123</v>
      </c>
      <c r="B29" s="35" t="n">
        <f aca="false">B23+B28</f>
        <v>1264.9698630137</v>
      </c>
      <c r="C29" s="35" t="n">
        <f aca="false">C23+C28</f>
        <v>1630.88509589041</v>
      </c>
      <c r="D29" s="35" t="n">
        <f aca="false">D23+D28</f>
        <v>2583.12257534247</v>
      </c>
      <c r="E29" s="35" t="n">
        <f aca="false">E23+E28</f>
        <v>4275.51178082192</v>
      </c>
      <c r="F29" s="35" t="n">
        <f aca="false">F23+F28</f>
        <v>6183.08688219178</v>
      </c>
      <c r="G29" s="35" t="n">
        <f aca="false">G23+G28</f>
        <v>8336.21296219178</v>
      </c>
      <c r="H29" s="35" t="n">
        <f aca="false">H23+H28</f>
        <v>10557.6864561096</v>
      </c>
      <c r="I29" s="35" t="n">
        <f aca="false">I23+I28</f>
        <v>12761.3919281973</v>
      </c>
      <c r="J29" s="35" t="n">
        <f aca="false">J23+J28</f>
        <v>16384.1101725403</v>
      </c>
      <c r="K29" s="35" t="n">
        <f aca="false">K23+K28</f>
        <v>21610.5385139667</v>
      </c>
      <c r="L29" s="35" t="n">
        <f aca="false">L23+L28</f>
        <v>28496.7735124457</v>
      </c>
    </row>
    <row r="31" customFormat="false" ht="15" hidden="false" customHeight="false" outlineLevel="0" collapsed="false">
      <c r="A31" s="17" t="s">
        <v>124</v>
      </c>
      <c r="B31" s="36" t="n">
        <f aca="false">B16-B29</f>
        <v>0</v>
      </c>
      <c r="C31" s="36" t="n">
        <f aca="false">C16-C29</f>
        <v>0</v>
      </c>
      <c r="D31" s="36" t="n">
        <f aca="false">D16-D29</f>
        <v>0</v>
      </c>
      <c r="E31" s="36" t="n">
        <f aca="false">E16-E29</f>
        <v>0</v>
      </c>
      <c r="F31" s="36" t="n">
        <f aca="false">F16-F29</f>
        <v>0</v>
      </c>
      <c r="G31" s="36" t="n">
        <f aca="false">G16-G29</f>
        <v>0</v>
      </c>
      <c r="H31" s="36" t="n">
        <f aca="false">H16-H29</f>
        <v>0</v>
      </c>
      <c r="I31" s="36" t="n">
        <f aca="false">I16-I29</f>
        <v>0</v>
      </c>
      <c r="J31" s="36" t="n">
        <f aca="false">J16-J29</f>
        <v>0</v>
      </c>
      <c r="K31" s="36" t="n">
        <f aca="false">K16-K29</f>
        <v>0</v>
      </c>
      <c r="L31" s="36" t="n">
        <f aca="false">L16-L29</f>
        <v>0</v>
      </c>
    </row>
  </sheetData>
  <mergeCells count="5">
    <mergeCell ref="A1:L1"/>
    <mergeCell ref="A2:L2"/>
    <mergeCell ref="A6:L6"/>
    <mergeCell ref="A18:L18"/>
    <mergeCell ref="A25: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2" min="2" style="0" width="12"/>
  </cols>
  <sheetData>
    <row r="1" customFormat="false" ht="25.5" hidden="false" customHeight="true" outlineLevel="0" collapsed="false">
      <c r="A1" s="13" t="s">
        <v>125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.75" hidden="false" customHeight="true" outlineLevel="0" collapsed="false">
      <c r="A2" s="2" t="s">
        <v>126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8" hidden="false" customHeight="true" outlineLevel="0" collapsed="false">
      <c r="A4" s="14" t="s">
        <v>36</v>
      </c>
      <c r="B4" s="15" t="s">
        <v>37</v>
      </c>
      <c r="C4" s="15" t="s">
        <v>38</v>
      </c>
      <c r="D4" s="15" t="s">
        <v>14</v>
      </c>
      <c r="E4" s="15" t="s">
        <v>15</v>
      </c>
      <c r="F4" s="15" t="s">
        <v>39</v>
      </c>
      <c r="G4" s="15" t="s">
        <v>40</v>
      </c>
      <c r="H4" s="15" t="s">
        <v>41</v>
      </c>
      <c r="I4" s="15" t="s">
        <v>42</v>
      </c>
      <c r="J4" s="15" t="s">
        <v>43</v>
      </c>
      <c r="K4" s="15" t="s">
        <v>44</v>
      </c>
      <c r="L4" s="15" t="s">
        <v>45</v>
      </c>
    </row>
    <row r="6" customFormat="false" ht="15.75" hidden="false" customHeight="true" outlineLevel="0" collapsed="false">
      <c r="A6" s="16" t="s">
        <v>127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false" outlineLevel="0" collapsed="false">
      <c r="A7" s="19" t="s">
        <v>99</v>
      </c>
      <c r="B7" s="7" t="n">
        <f aca="false">'Income Statement'!B27</f>
        <v>-1272</v>
      </c>
      <c r="C7" s="7" t="n">
        <f aca="false">'Income Statement'!C27</f>
        <v>-1214.994</v>
      </c>
      <c r="D7" s="7" t="n">
        <f aca="false">'Income Statement'!D27</f>
        <v>-4700.01</v>
      </c>
      <c r="E7" s="7" t="n">
        <f aca="false">'Income Statement'!E27</f>
        <v>-5905.0384</v>
      </c>
      <c r="F7" s="7" t="n">
        <f aca="false">'Income Statement'!F27</f>
        <v>-3571.8544</v>
      </c>
      <c r="G7" s="7" t="n">
        <f aca="false">'Income Statement'!G27</f>
        <v>-3038.83296</v>
      </c>
      <c r="H7" s="7" t="n">
        <f aca="false">'Income Statement'!H27</f>
        <v>-1782.024512</v>
      </c>
      <c r="I7" s="7" t="n">
        <f aca="false">'Income Statement'!I27</f>
        <v>-153.279313919993</v>
      </c>
      <c r="J7" s="7" t="n">
        <f aca="false">'Income Statement'!J27</f>
        <v>1413.1823862154</v>
      </c>
      <c r="K7" s="7" t="n">
        <f aca="false">'Income Statement'!K27</f>
        <v>3170.16214852277</v>
      </c>
      <c r="L7" s="7" t="n">
        <f aca="false">'Income Statement'!L27</f>
        <v>5014.40965196909</v>
      </c>
    </row>
    <row r="8" customFormat="false" ht="15" hidden="false" customHeight="false" outlineLevel="0" collapsed="false">
      <c r="A8" s="19" t="s">
        <v>128</v>
      </c>
      <c r="B8" s="7" t="n">
        <f aca="false">-'Income Statement'!B22</f>
        <v>56.7</v>
      </c>
      <c r="C8" s="7" t="n">
        <f aca="false">-'Income Statement'!C22</f>
        <v>115.804</v>
      </c>
      <c r="D8" s="7" t="n">
        <f aca="false">-'Income Statement'!D22</f>
        <v>277.75</v>
      </c>
      <c r="E8" s="7" t="n">
        <f aca="false">-'Income Statement'!E22</f>
        <v>542.976</v>
      </c>
      <c r="F8" s="7" t="n">
        <f aca="false">-'Income Statement'!F22</f>
        <v>841.6128</v>
      </c>
      <c r="G8" s="7" t="n">
        <f aca="false">-'Income Statement'!G22</f>
        <v>1178.25792</v>
      </c>
      <c r="H8" s="7" t="n">
        <f aca="false">-'Income Statement'!H22</f>
        <v>1531.735296</v>
      </c>
      <c r="I8" s="7" t="n">
        <f aca="false">-'Income Statement'!I22</f>
        <v>1899.35176704</v>
      </c>
      <c r="J8" s="7" t="n">
        <f aca="false">-'Income Statement'!J22</f>
        <v>2260.2286027776</v>
      </c>
      <c r="K8" s="7" t="n">
        <f aca="false">-'Income Statement'!K22</f>
        <v>2599.26289319424</v>
      </c>
      <c r="L8" s="7" t="n">
        <f aca="false">-'Income Statement'!L22</f>
        <v>2911.17444037755</v>
      </c>
    </row>
    <row r="9" customFormat="false" ht="15" hidden="false" customHeight="false" outlineLevel="0" collapsed="false">
      <c r="A9" s="19" t="s">
        <v>129</v>
      </c>
      <c r="B9" s="7" t="n">
        <f aca="false">-'Balance Sheet'!B8</f>
        <v>-66.5753424657534</v>
      </c>
      <c r="C9" s="7" t="n">
        <f aca="false">-('Balance Sheet'!C8-'Balance Sheet'!B8)</f>
        <v>-92.0602739726027</v>
      </c>
      <c r="D9" s="7" t="n">
        <f aca="false">-('Balance Sheet'!D8-'Balance Sheet'!C8)</f>
        <v>-267.501369863014</v>
      </c>
      <c r="E9" s="7" t="n">
        <f aca="false">-('Balance Sheet'!E8-'Balance Sheet'!D8)</f>
        <v>-503.616438356164</v>
      </c>
      <c r="F9" s="7" t="n">
        <f aca="false">-('Balance Sheet'!F8-'Balance Sheet'!E8)</f>
        <v>-511.364383561644</v>
      </c>
      <c r="G9" s="7" t="n">
        <f aca="false">-('Balance Sheet'!G8-'Balance Sheet'!F8)</f>
        <v>-576.447123287671</v>
      </c>
      <c r="H9" s="7" t="n">
        <f aca="false">-('Balance Sheet'!H8-'Balance Sheet'!G8)</f>
        <v>-605.269479452055</v>
      </c>
      <c r="I9" s="7" t="n">
        <f aca="false">-('Balance Sheet'!I8-'Balance Sheet'!H8)</f>
        <v>-629.480258630137</v>
      </c>
      <c r="J9" s="7" t="n">
        <f aca="false">-('Balance Sheet'!J8-'Balance Sheet'!I8)</f>
        <v>-617.939787221918</v>
      </c>
      <c r="K9" s="7" t="n">
        <f aca="false">-('Balance Sheet'!K8-'Balance Sheet'!J8)</f>
        <v>-580.538168521643</v>
      </c>
      <c r="L9" s="7" t="n">
        <f aca="false">-('Balance Sheet'!L8-'Balance Sheet'!K8)</f>
        <v>-534.095115039913</v>
      </c>
    </row>
    <row r="10" customFormat="false" ht="15" hidden="false" customHeight="false" outlineLevel="0" collapsed="false">
      <c r="A10" s="19" t="s">
        <v>130</v>
      </c>
      <c r="B10" s="7" t="n">
        <f aca="false">-'Balance Sheet'!B9</f>
        <v>-36.3945205479452</v>
      </c>
      <c r="C10" s="7" t="n">
        <f aca="false">-('Balance Sheet'!C9-'Balance Sheet'!B9)</f>
        <v>-50.3669589041096</v>
      </c>
      <c r="D10" s="7" t="n">
        <f aca="false">-('Balance Sheet'!D9-'Balance Sheet'!C9)</f>
        <v>-143.048109589041</v>
      </c>
      <c r="E10" s="7" t="n">
        <f aca="false">-('Balance Sheet'!E9-'Balance Sheet'!D9)</f>
        <v>-228.868767123288</v>
      </c>
      <c r="F10" s="7" t="n">
        <f aca="false">-('Balance Sheet'!F9-'Balance Sheet'!E9)</f>
        <v>-237.861917808219</v>
      </c>
      <c r="G10" s="7" t="n">
        <f aca="false">-('Balance Sheet'!G9-'Balance Sheet'!F9)</f>
        <v>-265.165676712329</v>
      </c>
      <c r="H10" s="7" t="n">
        <f aca="false">-('Balance Sheet'!H9-'Balance Sheet'!G9)</f>
        <v>-271.026222465753</v>
      </c>
      <c r="I10" s="7" t="n">
        <f aca="false">-('Balance Sheet'!I9-'Balance Sheet'!H9)</f>
        <v>-285.014672657534</v>
      </c>
      <c r="J10" s="7" t="n">
        <f aca="false">-('Balance Sheet'!J9-'Balance Sheet'!I9)</f>
        <v>-275.471052514192</v>
      </c>
      <c r="K10" s="7" t="n">
        <f aca="false">-('Balance Sheet'!K9-'Balance Sheet'!J9)</f>
        <v>-254.146709330586</v>
      </c>
      <c r="L10" s="7" t="n">
        <f aca="false">-('Balance Sheet'!L9-'Balance Sheet'!K9)</f>
        <v>-229.067460450452</v>
      </c>
    </row>
    <row r="11" customFormat="false" ht="15" hidden="false" customHeight="false" outlineLevel="0" collapsed="false">
      <c r="A11" s="19" t="s">
        <v>131</v>
      </c>
      <c r="B11" s="7" t="n">
        <f aca="false">-'Balance Sheet'!B10</f>
        <v>-60.75</v>
      </c>
      <c r="C11" s="7" t="n">
        <f aca="false">-('Balance Sheet'!C10-'Balance Sheet'!B10)</f>
        <v>-72.87</v>
      </c>
      <c r="D11" s="7" t="n">
        <f aca="false">-('Balance Sheet'!D10-'Balance Sheet'!C10)</f>
        <v>-199.68</v>
      </c>
      <c r="E11" s="7" t="n">
        <f aca="false">-('Balance Sheet'!E10-'Balance Sheet'!D10)</f>
        <v>-345.42</v>
      </c>
      <c r="F11" s="7" t="n">
        <f aca="false">-('Balance Sheet'!F10-'Balance Sheet'!E10)</f>
        <v>-373.296</v>
      </c>
      <c r="G11" s="7" t="n">
        <f aca="false">-('Balance Sheet'!G10-'Balance Sheet'!F10)</f>
        <v>-420.8064</v>
      </c>
      <c r="H11" s="7" t="n">
        <f aca="false">-('Balance Sheet'!H10-'Balance Sheet'!G10)</f>
        <v>-441.84672</v>
      </c>
      <c r="I11" s="7" t="n">
        <f aca="false">-('Balance Sheet'!I10-'Balance Sheet'!H10)</f>
        <v>-459.5205888</v>
      </c>
      <c r="J11" s="7" t="n">
        <f aca="false">-('Balance Sheet'!J10-'Balance Sheet'!I10)</f>
        <v>-451.096044672</v>
      </c>
      <c r="K11" s="7" t="n">
        <f aca="false">-('Balance Sheet'!K10-'Balance Sheet'!J10)</f>
        <v>-423.7928630208</v>
      </c>
      <c r="L11" s="7" t="n">
        <f aca="false">-('Balance Sheet'!L10-'Balance Sheet'!K10)</f>
        <v>-389.889433979136</v>
      </c>
    </row>
    <row r="12" customFormat="false" ht="15" hidden="false" customHeight="false" outlineLevel="0" collapsed="false">
      <c r="A12" s="19" t="s">
        <v>132</v>
      </c>
      <c r="B12" s="7" t="n">
        <f aca="false">'Balance Sheet'!B19</f>
        <v>159.22602739726</v>
      </c>
      <c r="C12" s="7" t="n">
        <f aca="false">('Balance Sheet'!C19-'Balance Sheet'!B19)</f>
        <v>207.100219178082</v>
      </c>
      <c r="D12" s="7" t="n">
        <f aca="false">('Balance Sheet'!D19-'Balance Sheet'!C19)</f>
        <v>552.912109589041</v>
      </c>
      <c r="E12" s="7" t="n">
        <f aca="false">('Balance Sheet'!E19-'Balance Sheet'!D19)</f>
        <v>1007.21073972603</v>
      </c>
      <c r="F12" s="7" t="n">
        <f aca="false">('Balance Sheet'!F19-'Balance Sheet'!E19)</f>
        <v>999.020054794521</v>
      </c>
      <c r="G12" s="7" t="n">
        <f aca="false">('Balance Sheet'!G19-'Balance Sheet'!F19)</f>
        <v>1113.69584219178</v>
      </c>
      <c r="H12" s="7" t="n">
        <f aca="false">('Balance Sheet'!H19-'Balance Sheet'!G19)</f>
        <v>1138.31013435616</v>
      </c>
      <c r="I12" s="7" t="n">
        <f aca="false">('Balance Sheet'!I19-'Balance Sheet'!H19)</f>
        <v>1197.06162516164</v>
      </c>
      <c r="J12" s="7" t="n">
        <f aca="false">('Balance Sheet'!J19-'Balance Sheet'!I19)</f>
        <v>1156.97842055961</v>
      </c>
      <c r="K12" s="7" t="n">
        <f aca="false">('Balance Sheet'!K19-'Balance Sheet'!J19)</f>
        <v>1067.41617918846</v>
      </c>
      <c r="L12" s="7" t="n">
        <f aca="false">('Balance Sheet'!L19-'Balance Sheet'!K19)</f>
        <v>962.083333891898</v>
      </c>
    </row>
    <row r="13" customFormat="false" ht="15" hidden="false" customHeight="false" outlineLevel="0" collapsed="false">
      <c r="A13" s="19" t="s">
        <v>133</v>
      </c>
      <c r="B13" s="7" t="n">
        <f aca="false">'Balance Sheet'!B20</f>
        <v>141.75</v>
      </c>
      <c r="C13" s="7" t="n">
        <f aca="false">('Balance Sheet'!C20-'Balance Sheet'!B20)</f>
        <v>170.03</v>
      </c>
      <c r="D13" s="7" t="n">
        <f aca="false">('Balance Sheet'!D20-'Balance Sheet'!C20)</f>
        <v>465.92</v>
      </c>
      <c r="E13" s="7" t="n">
        <f aca="false">('Balance Sheet'!E20-'Balance Sheet'!D20)</f>
        <v>805.98</v>
      </c>
      <c r="F13" s="7" t="n">
        <f aca="false">('Balance Sheet'!F20-'Balance Sheet'!E20)</f>
        <v>871.024000000001</v>
      </c>
      <c r="G13" s="7" t="n">
        <f aca="false">('Balance Sheet'!G20-'Balance Sheet'!F20)</f>
        <v>981.8816</v>
      </c>
      <c r="H13" s="7" t="n">
        <f aca="false">('Balance Sheet'!H20-'Balance Sheet'!G20)</f>
        <v>1030.97568</v>
      </c>
      <c r="I13" s="7" t="n">
        <f aca="false">('Balance Sheet'!I20-'Balance Sheet'!H20)</f>
        <v>1072.2147072</v>
      </c>
      <c r="J13" s="7" t="n">
        <f aca="false">('Balance Sheet'!J20-'Balance Sheet'!I20)</f>
        <v>1052.557437568</v>
      </c>
      <c r="K13" s="7" t="n">
        <f aca="false">('Balance Sheet'!K20-'Balance Sheet'!J20)</f>
        <v>988.8500137152</v>
      </c>
      <c r="L13" s="7" t="n">
        <f aca="false">('Balance Sheet'!L20-'Balance Sheet'!K20)</f>
        <v>909.742012617985</v>
      </c>
    </row>
    <row r="14" customFormat="false" ht="15" hidden="false" customHeight="false" outlineLevel="0" collapsed="false">
      <c r="A14" s="17" t="s">
        <v>127</v>
      </c>
      <c r="B14" s="33" t="n">
        <f aca="false">SUM(B7:B13)</f>
        <v>-1078.04383561644</v>
      </c>
      <c r="C14" s="33" t="n">
        <f aca="false">SUM(C7:C13)</f>
        <v>-937.357013698631</v>
      </c>
      <c r="D14" s="33" t="n">
        <f aca="false">SUM(D7:D13)</f>
        <v>-4013.65736986301</v>
      </c>
      <c r="E14" s="33" t="n">
        <f aca="false">SUM(E7:E13)</f>
        <v>-4626.77686575342</v>
      </c>
      <c r="F14" s="33" t="n">
        <f aca="false">SUM(F7:F13)</f>
        <v>-1982.71984657534</v>
      </c>
      <c r="G14" s="33" t="n">
        <f aca="false">SUM(G7:G13)</f>
        <v>-1027.41679780822</v>
      </c>
      <c r="H14" s="33" t="n">
        <f aca="false">SUM(H7:H13)</f>
        <v>600.854176438359</v>
      </c>
      <c r="I14" s="33" t="n">
        <f aca="false">SUM(I7:I13)</f>
        <v>2641.33326539398</v>
      </c>
      <c r="J14" s="33" t="n">
        <f aca="false">SUM(J7:J13)</f>
        <v>4538.4399627125</v>
      </c>
      <c r="K14" s="33" t="n">
        <f aca="false">SUM(K7:K13)</f>
        <v>6567.21349374765</v>
      </c>
      <c r="L14" s="33" t="n">
        <f aca="false">SUM(L7:L13)</f>
        <v>8644.35742938702</v>
      </c>
    </row>
    <row r="16" customFormat="false" ht="15.75" hidden="false" customHeight="true" outlineLevel="0" collapsed="false">
      <c r="A16" s="16" t="s">
        <v>134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customFormat="false" ht="15" hidden="false" customHeight="false" outlineLevel="0" collapsed="false">
      <c r="A17" s="19" t="s">
        <v>135</v>
      </c>
      <c r="B17" s="7" t="n">
        <f aca="false">-'Income Statement'!B6*Assumptions!B20</f>
        <v>-121.5</v>
      </c>
      <c r="C17" s="7" t="n">
        <f aca="false">-'Income Statement'!C6*Assumptions!C20</f>
        <v>-222.7</v>
      </c>
      <c r="D17" s="7" t="n">
        <f aca="false">-'Income Statement'!D6*Assumptions!D20</f>
        <v>-499.95</v>
      </c>
      <c r="E17" s="7" t="n">
        <f aca="false">-'Income Statement'!E6*Assumptions!E20</f>
        <v>-950.208</v>
      </c>
      <c r="F17" s="7" t="n">
        <f aca="false">-'Income Statement'!F6*Assumptions!F20</f>
        <v>-1402.688</v>
      </c>
      <c r="G17" s="7" t="n">
        <f aca="false">-'Income Statement'!G6*Assumptions!G20</f>
        <v>-1816.48096</v>
      </c>
      <c r="H17" s="7" t="n">
        <f aca="false">-'Income Statement'!H6*Assumptions!H20</f>
        <v>-2169.958336</v>
      </c>
      <c r="I17" s="7" t="n">
        <f aca="false">-'Income Statement'!I6*Assumptions!I20</f>
        <v>-2453.32936576</v>
      </c>
      <c r="J17" s="7" t="n">
        <f aca="false">-'Income Statement'!J6*Assumptions!J20</f>
        <v>-2731.1095616896</v>
      </c>
      <c r="K17" s="7" t="n">
        <f aca="false">-'Income Statement'!K6*Assumptions!K20</f>
        <v>-2924.17075484352</v>
      </c>
      <c r="L17" s="7" t="n">
        <f aca="false">-'Income Statement'!L6*Assumptions!L20</f>
        <v>-3153.77231040901</v>
      </c>
    </row>
    <row r="18" customFormat="false" ht="15" hidden="false" customHeight="false" outlineLevel="0" collapsed="false">
      <c r="A18" s="19" t="s">
        <v>136</v>
      </c>
      <c r="B18" s="7" t="n">
        <f aca="false">-'Balance Sheet'!B14</f>
        <v>-36.45</v>
      </c>
      <c r="C18" s="7" t="n">
        <f aca="false">-('Balance Sheet'!C14-'Balance Sheet'!B14)</f>
        <v>-43.722</v>
      </c>
      <c r="D18" s="7" t="n">
        <f aca="false">-('Balance Sheet'!D14-'Balance Sheet'!C14)</f>
        <v>-119.808</v>
      </c>
      <c r="E18" s="7" t="n">
        <f aca="false">-('Balance Sheet'!E14-'Balance Sheet'!D14)</f>
        <v>-207.252</v>
      </c>
      <c r="F18" s="7" t="n">
        <f aca="false">-('Balance Sheet'!F14-'Balance Sheet'!E14)</f>
        <v>-223.9776</v>
      </c>
      <c r="G18" s="7" t="n">
        <f aca="false">-('Balance Sheet'!G14-'Balance Sheet'!F14)</f>
        <v>-252.48384</v>
      </c>
      <c r="H18" s="7" t="n">
        <f aca="false">-('Balance Sheet'!H14-'Balance Sheet'!G14)</f>
        <v>-265.108032</v>
      </c>
      <c r="I18" s="7" t="n">
        <f aca="false">-('Balance Sheet'!I14-'Balance Sheet'!H14)</f>
        <v>-275.71235328</v>
      </c>
      <c r="J18" s="7" t="n">
        <f aca="false">-('Balance Sheet'!J14-'Balance Sheet'!I14)</f>
        <v>-270.6576268032</v>
      </c>
      <c r="K18" s="7" t="n">
        <f aca="false">-('Balance Sheet'!K14-'Balance Sheet'!J14)</f>
        <v>-254.27571781248</v>
      </c>
      <c r="L18" s="7" t="n">
        <f aca="false">-('Balance Sheet'!L14-'Balance Sheet'!K14)</f>
        <v>-233.933660387482</v>
      </c>
    </row>
    <row r="19" customFormat="false" ht="15" hidden="false" customHeight="false" outlineLevel="0" collapsed="false">
      <c r="A19" s="17" t="s">
        <v>134</v>
      </c>
      <c r="B19" s="33" t="n">
        <f aca="false">B17+B18</f>
        <v>-157.95</v>
      </c>
      <c r="C19" s="33" t="n">
        <f aca="false">C17+C18</f>
        <v>-266.422</v>
      </c>
      <c r="D19" s="33" t="n">
        <f aca="false">D17+D18</f>
        <v>-619.758</v>
      </c>
      <c r="E19" s="33" t="n">
        <f aca="false">E17+E18</f>
        <v>-1157.46</v>
      </c>
      <c r="F19" s="33" t="n">
        <f aca="false">F17+F18</f>
        <v>-1626.6656</v>
      </c>
      <c r="G19" s="33" t="n">
        <f aca="false">G17+G18</f>
        <v>-2068.9648</v>
      </c>
      <c r="H19" s="33" t="n">
        <f aca="false">H17+H18</f>
        <v>-2435.066368</v>
      </c>
      <c r="I19" s="33" t="n">
        <f aca="false">I17+I18</f>
        <v>-2729.04171904</v>
      </c>
      <c r="J19" s="33" t="n">
        <f aca="false">J17+J18</f>
        <v>-3001.7671884928</v>
      </c>
      <c r="K19" s="33" t="n">
        <f aca="false">K17+K18</f>
        <v>-3178.446472656</v>
      </c>
      <c r="L19" s="33" t="n">
        <f aca="false">L17+L18</f>
        <v>-3387.70597079649</v>
      </c>
    </row>
    <row r="21" customFormat="false" ht="15.75" hidden="false" customHeight="true" outlineLevel="0" collapsed="false">
      <c r="A21" s="16" t="s">
        <v>137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customFormat="false" ht="15" hidden="false" customHeight="false" outlineLevel="0" collapsed="false">
      <c r="A22" s="19" t="s">
        <v>138</v>
      </c>
      <c r="B22" s="34" t="n">
        <v>350</v>
      </c>
      <c r="C22" s="7" t="n">
        <f aca="false">B28</f>
        <v>1000</v>
      </c>
      <c r="D22" s="7" t="n">
        <f aca="false">C28</f>
        <v>1000</v>
      </c>
      <c r="E22" s="7" t="n">
        <f aca="false">D28</f>
        <v>1000</v>
      </c>
      <c r="F22" s="7" t="n">
        <f aca="false">E28</f>
        <v>1000</v>
      </c>
      <c r="G22" s="7" t="n">
        <f aca="false">F28</f>
        <v>1000</v>
      </c>
      <c r="H22" s="7" t="n">
        <f aca="false">G28</f>
        <v>1000</v>
      </c>
      <c r="I22" s="7" t="n">
        <f aca="false">H28</f>
        <v>1000</v>
      </c>
      <c r="J22" s="7" t="n">
        <f aca="false">I28</f>
        <v>1000</v>
      </c>
      <c r="K22" s="7" t="n">
        <f aca="false">J28</f>
        <v>2536.6727742197</v>
      </c>
      <c r="L22" s="7" t="n">
        <f aca="false">K28</f>
        <v>5925.43979531134</v>
      </c>
    </row>
    <row r="23" customFormat="false" ht="15" hidden="false" customHeight="false" outlineLevel="0" collapsed="false">
      <c r="A23" s="19" t="s">
        <v>139</v>
      </c>
      <c r="B23" s="7" t="n">
        <f aca="false">MAX(0, Assumptions!$B$25 - (B22+B14+B19))</f>
        <v>1885.99383561644</v>
      </c>
      <c r="C23" s="7" t="n">
        <f aca="false">MAX(0, Assumptions!$B$25 - (C22+C14+C19))</f>
        <v>1203.77901369863</v>
      </c>
      <c r="D23" s="7" t="n">
        <f aca="false">MAX(0, Assumptions!$B$25 - (D22+D14+D19))</f>
        <v>4633.41536986301</v>
      </c>
      <c r="E23" s="7" t="n">
        <f aca="false">MAX(0, Assumptions!$B$25 - (E22+E14+E19))</f>
        <v>5784.23686575342</v>
      </c>
      <c r="F23" s="7" t="n">
        <f aca="false">MAX(0, Assumptions!$B$25 - (F22+F14+F19))</f>
        <v>3609.38544657534</v>
      </c>
      <c r="G23" s="7" t="n">
        <f aca="false">MAX(0, Assumptions!$B$25 - (G22+G14+G19))</f>
        <v>3096.38159780822</v>
      </c>
      <c r="H23" s="7" t="n">
        <f aca="false">MAX(0, Assumptions!$B$25 - (H22+H14+H19))</f>
        <v>1834.21219156164</v>
      </c>
      <c r="I23" s="7" t="n">
        <f aca="false">MAX(0, Assumptions!$B$25 - (I22+I14+I19))</f>
        <v>87.7084536460216</v>
      </c>
      <c r="J23" s="7" t="n">
        <f aca="false">MAX(0, Assumptions!$B$25 - (J22+J14+J19))</f>
        <v>0</v>
      </c>
      <c r="K23" s="7" t="n">
        <f aca="false">MAX(0, Assumptions!$B$25 - (K22+K14+K19))</f>
        <v>0</v>
      </c>
      <c r="L23" s="7" t="n">
        <f aca="false">MAX(0, Assumptions!$B$25 - (L22+L14+L19))</f>
        <v>0</v>
      </c>
    </row>
    <row r="24" customFormat="false" ht="15" hidden="false" customHeight="false" outlineLevel="0" collapsed="false">
      <c r="A24" s="19" t="s">
        <v>140</v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34" t="n">
        <v>0</v>
      </c>
      <c r="I24" s="34" t="n">
        <v>0</v>
      </c>
      <c r="J24" s="34" t="n">
        <v>0</v>
      </c>
      <c r="K24" s="34" t="n">
        <v>0</v>
      </c>
      <c r="L24" s="34" t="n">
        <v>0</v>
      </c>
    </row>
    <row r="25" customFormat="false" ht="15" hidden="false" customHeight="false" outlineLevel="0" collapsed="false">
      <c r="A25" s="17" t="s">
        <v>137</v>
      </c>
      <c r="B25" s="33" t="n">
        <f aca="false">B23+B24</f>
        <v>1885.99383561644</v>
      </c>
      <c r="C25" s="33" t="n">
        <f aca="false">C23+C24</f>
        <v>1203.77901369863</v>
      </c>
      <c r="D25" s="33" t="n">
        <f aca="false">D23+D24</f>
        <v>4633.41536986301</v>
      </c>
      <c r="E25" s="33" t="n">
        <f aca="false">E23+E24</f>
        <v>5784.23686575342</v>
      </c>
      <c r="F25" s="33" t="n">
        <f aca="false">F23+F24</f>
        <v>3609.38544657534</v>
      </c>
      <c r="G25" s="33" t="n">
        <f aca="false">G23+G24</f>
        <v>3096.38159780822</v>
      </c>
      <c r="H25" s="33" t="n">
        <f aca="false">H23+H24</f>
        <v>1834.21219156164</v>
      </c>
      <c r="I25" s="33" t="n">
        <f aca="false">I23+I24</f>
        <v>87.7084536460216</v>
      </c>
      <c r="J25" s="33" t="n">
        <f aca="false">J23+J24</f>
        <v>0</v>
      </c>
      <c r="K25" s="33" t="n">
        <f aca="false">K23+K24</f>
        <v>0</v>
      </c>
      <c r="L25" s="33" t="n">
        <f aca="false">L23+L24</f>
        <v>0</v>
      </c>
    </row>
    <row r="27" customFormat="false" ht="15" hidden="false" customHeight="false" outlineLevel="0" collapsed="false">
      <c r="A27" s="17" t="s">
        <v>141</v>
      </c>
      <c r="B27" s="18" t="n">
        <f aca="false">B14+B19+B25</f>
        <v>650</v>
      </c>
      <c r="C27" s="18" t="n">
        <f aca="false">C14+C19+C25</f>
        <v>0</v>
      </c>
      <c r="D27" s="18" t="n">
        <f aca="false">D14+D19+D25</f>
        <v>0</v>
      </c>
      <c r="E27" s="18" t="n">
        <f aca="false">E14+E19+E25</f>
        <v>0</v>
      </c>
      <c r="F27" s="18" t="n">
        <f aca="false">F14+F19+F25</f>
        <v>0</v>
      </c>
      <c r="G27" s="18" t="n">
        <f aca="false">G14+G19+G25</f>
        <v>0</v>
      </c>
      <c r="H27" s="18" t="n">
        <f aca="false">H14+H19+H25</f>
        <v>0</v>
      </c>
      <c r="I27" s="18" t="n">
        <f aca="false">I14+I19+I25</f>
        <v>0</v>
      </c>
      <c r="J27" s="18" t="n">
        <f aca="false">J14+J19+J25</f>
        <v>1536.6727742197</v>
      </c>
      <c r="K27" s="18" t="n">
        <f aca="false">K14+K19+K25</f>
        <v>3388.76702109165</v>
      </c>
      <c r="L27" s="18" t="n">
        <f aca="false">L14+L19+L25</f>
        <v>5256.65145859053</v>
      </c>
    </row>
    <row r="28" customFormat="false" ht="15" hidden="false" customHeight="false" outlineLevel="0" collapsed="false">
      <c r="A28" s="17" t="s">
        <v>142</v>
      </c>
      <c r="B28" s="35" t="n">
        <f aca="false">B22+B27</f>
        <v>1000</v>
      </c>
      <c r="C28" s="35" t="n">
        <f aca="false">C22+C27</f>
        <v>1000</v>
      </c>
      <c r="D28" s="35" t="n">
        <f aca="false">D22+D27</f>
        <v>1000</v>
      </c>
      <c r="E28" s="35" t="n">
        <f aca="false">E22+E27</f>
        <v>1000</v>
      </c>
      <c r="F28" s="35" t="n">
        <f aca="false">F22+F27</f>
        <v>1000</v>
      </c>
      <c r="G28" s="35" t="n">
        <f aca="false">G22+G27</f>
        <v>1000</v>
      </c>
      <c r="H28" s="35" t="n">
        <f aca="false">H22+H27</f>
        <v>1000</v>
      </c>
      <c r="I28" s="35" t="n">
        <f aca="false">I22+I27</f>
        <v>1000</v>
      </c>
      <c r="J28" s="35" t="n">
        <f aca="false">J22+J27</f>
        <v>2536.6727742197</v>
      </c>
      <c r="K28" s="35" t="n">
        <f aca="false">K22+K27</f>
        <v>5925.43979531134</v>
      </c>
      <c r="L28" s="35" t="n">
        <f aca="false">L22+L27</f>
        <v>11182.0912539019</v>
      </c>
    </row>
  </sheetData>
  <mergeCells count="5">
    <mergeCell ref="A1:L1"/>
    <mergeCell ref="A2:L2"/>
    <mergeCell ref="A6:L6"/>
    <mergeCell ref="A16:L16"/>
    <mergeCell ref="A21:L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2"/>
  </cols>
  <sheetData>
    <row r="1" customFormat="false" ht="25.5" hidden="false" customHeight="true" outlineLevel="0" collapsed="false">
      <c r="A1" s="13" t="s">
        <v>143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.75" hidden="false" customHeight="true" outlineLevel="0" collapsed="false">
      <c r="A2" s="2" t="s">
        <v>144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8" hidden="false" customHeight="true" outlineLevel="0" collapsed="false">
      <c r="A4" s="14" t="s">
        <v>36</v>
      </c>
      <c r="B4" s="37" t="s">
        <v>37</v>
      </c>
      <c r="C4" s="37" t="s">
        <v>38</v>
      </c>
      <c r="D4" s="37" t="s">
        <v>14</v>
      </c>
      <c r="E4" s="37" t="s">
        <v>15</v>
      </c>
      <c r="F4" s="15" t="s">
        <v>39</v>
      </c>
      <c r="G4" s="15" t="s">
        <v>40</v>
      </c>
      <c r="H4" s="15" t="s">
        <v>41</v>
      </c>
      <c r="I4" s="15" t="s">
        <v>42</v>
      </c>
      <c r="J4" s="15" t="s">
        <v>43</v>
      </c>
      <c r="K4" s="15" t="s">
        <v>44</v>
      </c>
      <c r="L4" s="15" t="s">
        <v>45</v>
      </c>
    </row>
    <row r="6" customFormat="false" ht="15.75" hidden="false" customHeight="true" outlineLevel="0" collapsed="false">
      <c r="A6" s="16" t="s">
        <v>145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false" outlineLevel="0" collapsed="false">
      <c r="A7" s="19" t="s">
        <v>95</v>
      </c>
      <c r="F7" s="7" t="n">
        <f aca="false">'Income Statement'!F23</f>
        <v>-3576.8544</v>
      </c>
      <c r="G7" s="7" t="n">
        <f aca="false">'Income Statement'!G23</f>
        <v>-3043.83296</v>
      </c>
      <c r="H7" s="7" t="n">
        <f aca="false">'Income Statement'!H23</f>
        <v>-1787.024512</v>
      </c>
      <c r="I7" s="7" t="n">
        <f aca="false">'Income Statement'!I23</f>
        <v>-158.279313919993</v>
      </c>
      <c r="J7" s="7" t="n">
        <f aca="false">'Income Statement'!J23</f>
        <v>1883.523835648</v>
      </c>
      <c r="K7" s="7" t="n">
        <f aca="false">'Income Statement'!K23</f>
        <v>4223.80220144064</v>
      </c>
      <c r="L7" s="7" t="n">
        <f aca="false">'Income Statement'!L23</f>
        <v>6671.4414258652</v>
      </c>
    </row>
    <row r="8" customFormat="false" ht="15" hidden="false" customHeight="false" outlineLevel="0" collapsed="false">
      <c r="A8" s="19" t="s">
        <v>146</v>
      </c>
      <c r="F8" s="7" t="n">
        <f aca="false">-MAX(F7,0)*Assumptions!F21</f>
        <v>-0</v>
      </c>
      <c r="G8" s="7" t="n">
        <f aca="false">-MAX(G7,0)*Assumptions!G21</f>
        <v>-0</v>
      </c>
      <c r="H8" s="7" t="n">
        <f aca="false">-MAX(H7,0)*Assumptions!H21</f>
        <v>-0</v>
      </c>
      <c r="I8" s="7" t="n">
        <f aca="false">-MAX(I7,0)*Assumptions!I21</f>
        <v>-0</v>
      </c>
      <c r="J8" s="7" t="n">
        <f aca="false">-MAX(J7,0)*Assumptions!J21</f>
        <v>-474.082949432602</v>
      </c>
      <c r="K8" s="7" t="n">
        <f aca="false">-MAX(K7,0)*Assumptions!K21</f>
        <v>-1063.13101410261</v>
      </c>
      <c r="L8" s="7" t="n">
        <f aca="false">-MAX(L7,0)*Assumptions!L21</f>
        <v>-1679.20180689027</v>
      </c>
    </row>
    <row r="9" customFormat="false" ht="15" hidden="false" customHeight="false" outlineLevel="0" collapsed="false">
      <c r="A9" s="17" t="s">
        <v>147</v>
      </c>
      <c r="F9" s="33" t="n">
        <f aca="false">F7+F8</f>
        <v>-3576.8544</v>
      </c>
      <c r="G9" s="33" t="n">
        <f aca="false">G7+G8</f>
        <v>-3043.83296</v>
      </c>
      <c r="H9" s="33" t="n">
        <f aca="false">H7+H8</f>
        <v>-1787.024512</v>
      </c>
      <c r="I9" s="33" t="n">
        <f aca="false">I7+I8</f>
        <v>-158.279313919993</v>
      </c>
      <c r="J9" s="33" t="n">
        <f aca="false">J7+J8</f>
        <v>1409.4408862154</v>
      </c>
      <c r="K9" s="33" t="n">
        <f aca="false">K7+K8</f>
        <v>3160.67118733803</v>
      </c>
      <c r="L9" s="33" t="n">
        <f aca="false">L7+L8</f>
        <v>4992.23961897493</v>
      </c>
    </row>
    <row r="10" customFormat="false" ht="15" hidden="false" customHeight="false" outlineLevel="0" collapsed="false">
      <c r="A10" s="19" t="s">
        <v>128</v>
      </c>
      <c r="F10" s="7" t="n">
        <f aca="false">-'Income Statement'!F22</f>
        <v>841.6128</v>
      </c>
      <c r="G10" s="7" t="n">
        <f aca="false">-'Income Statement'!G22</f>
        <v>1178.25792</v>
      </c>
      <c r="H10" s="7" t="n">
        <f aca="false">-'Income Statement'!H22</f>
        <v>1531.735296</v>
      </c>
      <c r="I10" s="7" t="n">
        <f aca="false">-'Income Statement'!I22</f>
        <v>1899.35176704</v>
      </c>
      <c r="J10" s="7" t="n">
        <f aca="false">-'Income Statement'!J22</f>
        <v>2260.2286027776</v>
      </c>
      <c r="K10" s="7" t="n">
        <f aca="false">-'Income Statement'!K22</f>
        <v>2599.26289319424</v>
      </c>
      <c r="L10" s="7" t="n">
        <f aca="false">-'Income Statement'!L22</f>
        <v>2911.17444037755</v>
      </c>
    </row>
    <row r="11" customFormat="false" ht="15" hidden="false" customHeight="false" outlineLevel="0" collapsed="false">
      <c r="A11" s="19" t="s">
        <v>148</v>
      </c>
      <c r="F11" s="7" t="n">
        <f aca="false">'Cash Flow'!F17</f>
        <v>-1402.688</v>
      </c>
      <c r="G11" s="7" t="n">
        <f aca="false">'Cash Flow'!G17</f>
        <v>-1816.48096</v>
      </c>
      <c r="H11" s="7" t="n">
        <f aca="false">'Cash Flow'!H17</f>
        <v>-2169.958336</v>
      </c>
      <c r="I11" s="7" t="n">
        <f aca="false">'Cash Flow'!I17</f>
        <v>-2453.32936576</v>
      </c>
      <c r="J11" s="7" t="n">
        <f aca="false">'Cash Flow'!J17</f>
        <v>-2731.1095616896</v>
      </c>
      <c r="K11" s="7" t="n">
        <f aca="false">'Cash Flow'!K17</f>
        <v>-2924.17075484352</v>
      </c>
      <c r="L11" s="7" t="n">
        <f aca="false">'Cash Flow'!L17</f>
        <v>-3153.77231040901</v>
      </c>
    </row>
    <row r="12" customFormat="false" ht="15" hidden="false" customHeight="false" outlineLevel="0" collapsed="false">
      <c r="A12" s="19" t="s">
        <v>149</v>
      </c>
      <c r="F12" s="7" t="n">
        <f aca="false">'Cash Flow'!F9+'Cash Flow'!F10+'Cash Flow'!F11+'Cash Flow'!F12+'Cash Flow'!F13</f>
        <v>747.521753424658</v>
      </c>
      <c r="G12" s="7" t="n">
        <f aca="false">'Cash Flow'!G9+'Cash Flow'!G10+'Cash Flow'!G11+'Cash Flow'!G12+'Cash Flow'!G13</f>
        <v>833.15824219178</v>
      </c>
      <c r="H12" s="7" t="n">
        <f aca="false">'Cash Flow'!H9+'Cash Flow'!H10+'Cash Flow'!H11+'Cash Flow'!H12+'Cash Flow'!H13</f>
        <v>851.143392438357</v>
      </c>
      <c r="I12" s="7" t="n">
        <f aca="false">'Cash Flow'!I9+'Cash Flow'!I10+'Cash Flow'!I11+'Cash Flow'!I12+'Cash Flow'!I13</f>
        <v>895.260812273972</v>
      </c>
      <c r="J12" s="7" t="n">
        <f aca="false">'Cash Flow'!J9+'Cash Flow'!J10+'Cash Flow'!J11+'Cash Flow'!J12+'Cash Flow'!J13</f>
        <v>865.028973719497</v>
      </c>
      <c r="K12" s="7" t="n">
        <f aca="false">'Cash Flow'!K9+'Cash Flow'!K10+'Cash Flow'!K11+'Cash Flow'!K12+'Cash Flow'!K13</f>
        <v>797.788452030632</v>
      </c>
      <c r="L12" s="7" t="n">
        <f aca="false">'Cash Flow'!L9+'Cash Flow'!L10+'Cash Flow'!L11+'Cash Flow'!L12+'Cash Flow'!L13</f>
        <v>718.773337040382</v>
      </c>
    </row>
    <row r="13" customFormat="false" ht="15" hidden="false" customHeight="false" outlineLevel="0" collapsed="false">
      <c r="A13" s="17" t="s">
        <v>150</v>
      </c>
      <c r="F13" s="35" t="n">
        <f aca="false">F9+F10+F11+F12</f>
        <v>-3390.40784657534</v>
      </c>
      <c r="G13" s="35" t="n">
        <f aca="false">G9+G10+G11+G12</f>
        <v>-2848.89775780822</v>
      </c>
      <c r="H13" s="35" t="n">
        <f aca="false">H9+H10+H11+H12</f>
        <v>-1574.10415956164</v>
      </c>
      <c r="I13" s="35" t="n">
        <f aca="false">I9+I10+I11+I12</f>
        <v>183.003899633979</v>
      </c>
      <c r="J13" s="35" t="n">
        <f aca="false">J9+J10+J11+J12</f>
        <v>1803.5889010229</v>
      </c>
      <c r="K13" s="35" t="n">
        <f aca="false">K9+K10+K11+K12</f>
        <v>3633.55177771938</v>
      </c>
      <c r="L13" s="35" t="n">
        <f aca="false">L9+L10+L11+L12</f>
        <v>5468.41508598385</v>
      </c>
    </row>
    <row r="15" customFormat="false" ht="15.75" hidden="false" customHeight="true" outlineLevel="0" collapsed="false">
      <c r="A15" s="16" t="s">
        <v>151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customFormat="false" ht="15" hidden="false" customHeight="false" outlineLevel="0" collapsed="false">
      <c r="A16" s="19" t="s">
        <v>152</v>
      </c>
      <c r="F16" s="38" t="n">
        <v>1</v>
      </c>
      <c r="G16" s="38" t="n">
        <v>2</v>
      </c>
      <c r="H16" s="38" t="n">
        <v>3</v>
      </c>
      <c r="I16" s="38" t="n">
        <v>4</v>
      </c>
      <c r="J16" s="38" t="n">
        <v>5</v>
      </c>
      <c r="K16" s="38" t="n">
        <v>6</v>
      </c>
      <c r="L16" s="38" t="n">
        <v>7</v>
      </c>
    </row>
    <row r="17" customFormat="false" ht="15" hidden="false" customHeight="false" outlineLevel="0" collapsed="false">
      <c r="A17" s="19" t="s">
        <v>153</v>
      </c>
      <c r="F17" s="39" t="n">
        <f aca="false">1/(1+Assumptions!$B$36)^F16</f>
        <v>0.868727575155034</v>
      </c>
      <c r="G17" s="39" t="n">
        <f aca="false">1/(1+Assumptions!$B$36)^G16</f>
        <v>0.754687599834746</v>
      </c>
      <c r="H17" s="39" t="n">
        <f aca="false">1/(1+Assumptions!$B$36)^H16</f>
        <v>0.655617928604012</v>
      </c>
      <c r="I17" s="39" t="n">
        <f aca="false">1/(1+Assumptions!$B$36)^I16</f>
        <v>0.569553373344329</v>
      </c>
      <c r="J17" s="39" t="n">
        <f aca="false">1/(1+Assumptions!$B$36)^J16</f>
        <v>0.494786720946789</v>
      </c>
      <c r="K17" s="39" t="n">
        <f aca="false">1/(1+Assumptions!$B$36)^K16</f>
        <v>0.429834868307015</v>
      </c>
      <c r="L17" s="39" t="n">
        <f aca="false">1/(1+Assumptions!$B$36)^L16</f>
        <v>0.373409402861436</v>
      </c>
    </row>
    <row r="18" customFormat="false" ht="15" hidden="false" customHeight="false" outlineLevel="0" collapsed="false">
      <c r="A18" s="17" t="s">
        <v>154</v>
      </c>
      <c r="F18" s="18" t="n">
        <f aca="false">F13*F17</f>
        <v>-2945.340787342</v>
      </c>
      <c r="G18" s="18" t="n">
        <f aca="false">G13*G17</f>
        <v>-2150.02781101487</v>
      </c>
      <c r="H18" s="18" t="n">
        <f aca="false">H13*H17</f>
        <v>-1032.01090849876</v>
      </c>
      <c r="I18" s="18" t="n">
        <f aca="false">I13*I17</f>
        <v>104.2304883717</v>
      </c>
      <c r="J18" s="18" t="n">
        <f aca="false">J13*J17</f>
        <v>892.391838273142</v>
      </c>
      <c r="K18" s="18" t="n">
        <f aca="false">K13*K17</f>
        <v>1561.82724986273</v>
      </c>
      <c r="L18" s="18" t="n">
        <f aca="false">L13*L17</f>
        <v>2041.9576118557</v>
      </c>
    </row>
    <row r="20" customFormat="false" ht="15.75" hidden="false" customHeight="true" outlineLevel="0" collapsed="false">
      <c r="A20" s="16" t="s">
        <v>155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customFormat="false" ht="15" hidden="false" customHeight="false" outlineLevel="0" collapsed="false">
      <c r="A21" s="19" t="s">
        <v>156</v>
      </c>
      <c r="B21" s="40" t="n">
        <f aca="false">SUM(F18:L18)</f>
        <v>-1526.97231849236</v>
      </c>
      <c r="C21" s="40"/>
    </row>
    <row r="22" customFormat="false" ht="15" hidden="false" customHeight="false" outlineLevel="0" collapsed="false">
      <c r="A22" s="19" t="s">
        <v>157</v>
      </c>
      <c r="B22" s="40" t="n">
        <f aca="false">L13*(1+Assumptions!$B$37)/(Assumptions!$B$36-Assumptions!$B$37)</f>
        <v>56788.6573755219</v>
      </c>
      <c r="C22" s="40"/>
    </row>
    <row r="23" customFormat="false" ht="15" hidden="false" customHeight="false" outlineLevel="0" collapsed="false">
      <c r="A23" s="19" t="s">
        <v>158</v>
      </c>
      <c r="B23" s="40" t="n">
        <f aca="false">B22*L17</f>
        <v>21205.4186398963</v>
      </c>
      <c r="C23" s="40"/>
    </row>
    <row r="24" customFormat="false" ht="15" hidden="false" customHeight="false" outlineLevel="0" collapsed="false">
      <c r="A24" s="31" t="s">
        <v>159</v>
      </c>
      <c r="B24" s="41" t="n">
        <f aca="false">B23/B25</f>
        <v>1.07759618282626</v>
      </c>
      <c r="C24" s="41"/>
    </row>
    <row r="25" customFormat="false" ht="15" hidden="false" customHeight="false" outlineLevel="0" collapsed="false">
      <c r="A25" s="17" t="s">
        <v>160</v>
      </c>
      <c r="B25" s="42" t="n">
        <f aca="false">B21+B23</f>
        <v>19678.446321404</v>
      </c>
      <c r="C25" s="42"/>
    </row>
    <row r="26" customFormat="false" ht="15" hidden="false" customHeight="false" outlineLevel="0" collapsed="false">
      <c r="A26" s="19" t="s">
        <v>161</v>
      </c>
      <c r="B26" s="43" t="n">
        <f aca="false">'Balance Sheet'!E22-'Balance Sheet'!E7</f>
        <v>-1000</v>
      </c>
      <c r="C26" s="43"/>
    </row>
    <row r="27" customFormat="false" ht="15" hidden="false" customHeight="false" outlineLevel="0" collapsed="false">
      <c r="A27" s="17" t="s">
        <v>23</v>
      </c>
      <c r="B27" s="44" t="n">
        <f aca="false">B25-B26</f>
        <v>20678.446321404</v>
      </c>
      <c r="C27" s="44"/>
    </row>
    <row r="28" customFormat="false" ht="15" hidden="false" customHeight="false" outlineLevel="0" collapsed="false">
      <c r="A28" s="17" t="s">
        <v>162</v>
      </c>
      <c r="B28" s="45" t="n">
        <f aca="false">B27/Assumptions!$B$38/100</f>
        <v>2.36325100816046</v>
      </c>
      <c r="C28" s="45"/>
    </row>
    <row r="30" customFormat="false" ht="15.75" hidden="false" customHeight="true" outlineLevel="0" collapsed="false">
      <c r="A30" s="16" t="s">
        <v>163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customFormat="false" ht="15" hidden="false" customHeight="false" outlineLevel="0" collapsed="false">
      <c r="A31" s="19" t="s">
        <v>164</v>
      </c>
      <c r="B31" s="46" t="n">
        <f aca="false">B28/Assumptions!$B$41-1</f>
        <v>-0.662392713119935</v>
      </c>
      <c r="C31" s="46"/>
    </row>
    <row r="32" customFormat="false" ht="15" hidden="false" customHeight="false" outlineLevel="0" collapsed="false">
      <c r="A32" s="19" t="s">
        <v>165</v>
      </c>
      <c r="B32" s="46" t="n">
        <f aca="false">B28/((Assumptions!$B$42+Assumptions!$B$43)/2)-1</f>
        <v>-0.590779046205982</v>
      </c>
      <c r="C32" s="46"/>
    </row>
    <row r="34" customFormat="false" ht="15.75" hidden="false" customHeight="true" outlineLevel="0" collapsed="false">
      <c r="A34" s="16" t="s">
        <v>166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customFormat="false" ht="15" hidden="false" customHeight="false" outlineLevel="0" collapsed="false">
      <c r="A35" s="17" t="s">
        <v>167</v>
      </c>
      <c r="C35" s="47" t="n">
        <v>0.03</v>
      </c>
      <c r="D35" s="47" t="n">
        <v>0.04</v>
      </c>
      <c r="E35" s="47" t="n">
        <v>0.05</v>
      </c>
      <c r="F35" s="47" t="n">
        <v>0.06</v>
      </c>
      <c r="G35" s="47" t="n">
        <v>0.07</v>
      </c>
    </row>
    <row r="36" customFormat="false" ht="15" hidden="false" customHeight="false" outlineLevel="0" collapsed="false">
      <c r="B36" s="47" t="n">
        <v>0.12</v>
      </c>
      <c r="C36" s="48" t="n">
        <f aca="false">(SUMPRODUCT($F$13:$L$13,1/(1+$B36)^($F$16:$L$16))+$L$13*(1+C$35)/($B36-C$35)/(1+$B36)^$L$16-B26)/Assumptions!$B$38/100</f>
        <v>3.239414783994</v>
      </c>
      <c r="D36" s="48" t="n">
        <f aca="false">(SUMPRODUCT($F$13:$L$13,1/(1+$B36)^($F$16:$L$16))+$L$13*(1+D$35)/($B36-D$35)/(1+$B36)^$L$16-B26)/Assumptions!$B$38/100</f>
        <v>3.67917181035511</v>
      </c>
      <c r="E36" s="48" t="n">
        <f aca="false">(SUMPRODUCT($F$13:$L$13,1/(1+$B36)^($F$16:$L$16))+$L$13*(1+E$35)/($B36-E$35)/(1+$B36)^$L$16-B26)/Assumptions!$B$38/100</f>
        <v>4.24457370139082</v>
      </c>
      <c r="F36" s="48" t="n">
        <f aca="false">(SUMPRODUCT($F$13:$L$13,1/(1+$B36)^($F$16:$L$16))+$L$13*(1+F$35)/($B36-F$35)/(1+$B36)^$L$16-B26)/Assumptions!$B$38/100</f>
        <v>4.99844288943843</v>
      </c>
      <c r="G36" s="48" t="n">
        <f aca="false">(SUMPRODUCT($F$13:$L$13,1/(1+$B36)^($F$16:$L$16))+$L$13*(1+G$35)/($B36-G$35)/(1+$B36)^$L$16-B26)/Assumptions!$B$38/100</f>
        <v>6.05385975270508</v>
      </c>
    </row>
    <row r="37" customFormat="false" ht="15" hidden="false" customHeight="false" outlineLevel="0" collapsed="false">
      <c r="B37" s="47" t="n">
        <v>0.135</v>
      </c>
      <c r="C37" s="48" t="n">
        <f aca="false">(SUMPRODUCT($F$13:$L$13,1/(1+$B37)^($F$16:$L$16))+$L$13*(1+C$35)/($B37-C$35)/(1+$B37)^$L$16-B26)/Assumptions!$B$38/100</f>
        <v>2.49752546612596</v>
      </c>
      <c r="D37" s="48" t="n">
        <f aca="false">(SUMPRODUCT($F$13:$L$13,1/(1+$B37)^($F$16:$L$16))+$L$13*(1+D$35)/($B37-D$35)/(1+$B37)^$L$16-B26)/Assumptions!$B$38/100</f>
        <v>2.79059140500279</v>
      </c>
      <c r="E37" s="48" t="n">
        <f aca="false">(SUMPRODUCT($F$13:$L$13,1/(1+$B37)^($F$16:$L$16))+$L$13*(1+E$35)/($B37-E$35)/(1+$B37)^$L$16-B26)/Assumptions!$B$38/100</f>
        <v>3.15261403538005</v>
      </c>
      <c r="F37" s="48" t="n">
        <f aca="false">(SUMPRODUCT($F$13:$L$13,1/(1+$B37)^($F$16:$L$16))+$L$13*(1+F$35)/($B37-F$35)/(1+$B37)^$L$16-B26)/Assumptions!$B$38/100</f>
        <v>3.61117603385791</v>
      </c>
      <c r="G37" s="48" t="n">
        <f aca="false">(SUMPRODUCT($F$13:$L$13,1/(1+$B37)^($F$16:$L$16))+$L$13*(1+G$35)/($B37-G$35)/(1+$B37)^$L$16-B26)/Assumptions!$B$38/100</f>
        <v>4.21083403186742</v>
      </c>
    </row>
    <row r="38" customFormat="false" ht="15" hidden="false" customHeight="false" outlineLevel="0" collapsed="false">
      <c r="B38" s="47" t="n">
        <v>0.1511</v>
      </c>
      <c r="C38" s="49" t="n">
        <f aca="false">(SUMPRODUCT($F$13:$L$13,1/(1+$B38)^($F$16:$L$16))+$L$13*(1+C$35)/($B38-C$35)/(1+$B38)^$L$16-B26)/Assumptions!$B$38/100</f>
        <v>1.92476596321703</v>
      </c>
      <c r="D38" s="49" t="n">
        <f aca="false">(SUMPRODUCT($F$13:$L$13,1/(1+$B38)^($F$16:$L$16))+$L$13*(1+D$35)/($B38-D$35)/(1+$B38)^$L$16-B26)/Assumptions!$B$38/100</f>
        <v>2.12443783728461</v>
      </c>
      <c r="E38" s="49" t="n">
        <f aca="false">(SUMPRODUCT($F$13:$L$13,1/(1+$B38)^($F$16:$L$16))+$L$13*(1+E$35)/($B38-E$35)/(1+$B38)^$L$16-B26)/Assumptions!$B$38/100</f>
        <v>2.36360958752777</v>
      </c>
      <c r="F38" s="49" t="n">
        <f aca="false">(SUMPRODUCT($F$13:$L$13,1/(1+$B38)^($F$16:$L$16))+$L$13*(1+F$35)/($B38-F$35)/(1+$B38)^$L$16-B26)/Assumptions!$B$38/100</f>
        <v>2.65528885703397</v>
      </c>
      <c r="G38" s="49" t="n">
        <f aca="false">(SUMPRODUCT($F$13:$L$13,1/(1+$B38)^($F$16:$L$16))+$L$13*(1+G$35)/($B38-G$35)/(1+$B38)^$L$16-B26)/Assumptions!$B$38/100</f>
        <v>3.01889889583887</v>
      </c>
    </row>
    <row r="39" customFormat="false" ht="15" hidden="false" customHeight="false" outlineLevel="0" collapsed="false">
      <c r="B39" s="47" t="n">
        <v>0.165</v>
      </c>
      <c r="C39" s="48" t="n">
        <f aca="false">(SUMPRODUCT($F$13:$L$13,1/(1+$B39)^($F$16:$L$16))+$L$13*(1+C$35)/($B39-C$35)/(1+$B39)^$L$16-B26)/Assumptions!$B$38/100</f>
        <v>1.55319711785527</v>
      </c>
      <c r="D39" s="48" t="n">
        <f aca="false">(SUMPRODUCT($F$13:$L$13,1/(1+$B39)^($F$16:$L$16))+$L$13*(1+D$35)/($B39-D$35)/(1+$B39)^$L$16-B26)/Assumptions!$B$38/100</f>
        <v>1.70133089136347</v>
      </c>
      <c r="E39" s="48" t="n">
        <f aca="false">(SUMPRODUCT($F$13:$L$13,1/(1+$B39)^($F$16:$L$16))+$L$13*(1+E$35)/($B39-E$35)/(1+$B39)^$L$16-B26)/Assumptions!$B$38/100</f>
        <v>1.8752270602644</v>
      </c>
      <c r="F39" s="48" t="n">
        <f aca="false">(SUMPRODUCT($F$13:$L$13,1/(1+$B39)^($F$16:$L$16))+$L$13*(1+F$35)/($B39-F$35)/(1+$B39)^$L$16-B26)/Assumptions!$B$38/100</f>
        <v>2.08224630895598</v>
      </c>
      <c r="G39" s="48" t="n">
        <f aca="false">(SUMPRODUCT($F$13:$L$13,1/(1+$B39)^($F$16:$L$16))+$L$13*(1+G$35)/($B39-G$35)/(1+$B39)^$L$16-B26)/Assumptions!$B$38/100</f>
        <v>2.3328485573721</v>
      </c>
    </row>
    <row r="40" customFormat="false" ht="15" hidden="false" customHeight="false" outlineLevel="0" collapsed="false">
      <c r="B40" s="47" t="n">
        <v>0.18</v>
      </c>
      <c r="C40" s="48" t="n">
        <f aca="false">(SUMPRODUCT($F$13:$L$13,1/(1+$B40)^($F$16:$L$16))+$L$13*(1+C$35)/($B40-C$35)/(1+$B40)^$L$16-B26)/Assumptions!$B$38/100</f>
        <v>1.2406764506707</v>
      </c>
      <c r="D40" s="48" t="n">
        <f aca="false">(SUMPRODUCT($F$13:$L$13,1/(1+$B40)^($F$16:$L$16))+$L$13*(1+D$35)/($B40-D$35)/(1+$B40)^$L$16-B26)/Assumptions!$B$38/100</f>
        <v>1.35091718085667</v>
      </c>
      <c r="E40" s="48" t="n">
        <f aca="false">(SUMPRODUCT($F$13:$L$13,1/(1+$B40)^($F$16:$L$16))+$L$13*(1+E$35)/($B40-E$35)/(1+$B40)^$L$16-B26)/Assumptions!$B$38/100</f>
        <v>1.47811802337894</v>
      </c>
      <c r="F40" s="48" t="n">
        <f aca="false">(SUMPRODUCT($F$13:$L$13,1/(1+$B40)^($F$16:$L$16))+$L$13*(1+F$35)/($B40-F$35)/(1+$B40)^$L$16-B26)/Assumptions!$B$38/100</f>
        <v>1.62651900632159</v>
      </c>
      <c r="G40" s="48" t="n">
        <f aca="false">(SUMPRODUCT($F$13:$L$13,1/(1+$B40)^($F$16:$L$16))+$L$13*(1+G$35)/($B40-G$35)/(1+$B40)^$L$16-B26)/Assumptions!$B$38/100</f>
        <v>1.8019019861629</v>
      </c>
    </row>
    <row r="42" customFormat="false" ht="15" hidden="false" customHeight="false" outlineLevel="0" collapsed="false">
      <c r="A42" s="50" t="s">
        <v>168</v>
      </c>
    </row>
  </sheetData>
  <mergeCells count="17">
    <mergeCell ref="A1:L1"/>
    <mergeCell ref="A2:L2"/>
    <mergeCell ref="A6:L6"/>
    <mergeCell ref="A15:L15"/>
    <mergeCell ref="A20:L20"/>
    <mergeCell ref="B21:C21"/>
    <mergeCell ref="B22:C22"/>
    <mergeCell ref="B23:C23"/>
    <mergeCell ref="B24:C24"/>
    <mergeCell ref="B25:C25"/>
    <mergeCell ref="B26:C26"/>
    <mergeCell ref="B27:C27"/>
    <mergeCell ref="B28:C28"/>
    <mergeCell ref="A30:L30"/>
    <mergeCell ref="B31:C31"/>
    <mergeCell ref="B32:C32"/>
    <mergeCell ref="A34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2026-07-19T10:08:40Z</dcterms:created>
  <dc:creator>openpyxl</dc:creator>
  <dc:description/>
  <dc:language>en-US</dc:language>
  <cp:lastModifiedBy/>
  <dcterms:modified xsi:type="dcterms:W3CDTF">2026-07-19T10:08:40Z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